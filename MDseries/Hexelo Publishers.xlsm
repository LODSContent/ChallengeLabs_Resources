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LabFiles\211scor\MO-211-LabFiles\"/>
    </mc:Choice>
  </mc:AlternateContent>
  <xr:revisionPtr revIDLastSave="0" documentId="13_ncr:1_{58525B7F-2465-4DB1-B7DB-F15081818AAD}" xr6:coauthVersionLast="47" xr6:coauthVersionMax="47" xr10:uidLastSave="{00000000-0000-0000-0000-000000000000}"/>
  <bookViews>
    <workbookView xWindow="-120" yWindow="-120" windowWidth="29040" windowHeight="15720" activeTab="1" xr2:uid="{115FB4F5-53B8-4A11-8F3F-E8E2A02A675F}"/>
  </bookViews>
  <sheets>
    <sheet name="Stores" sheetId="2" r:id="rId1"/>
    <sheet name="Publishers" sheetId="7" r:id="rId2"/>
    <sheet name="Titles" sheetId="23" r:id="rId3"/>
    <sheet name="TitleAuthors" sheetId="22" r:id="rId4"/>
    <sheet name="Authors" sheetId="21" r:id="rId5"/>
    <sheet name="Sales" sheetId="10" r:id="rId6"/>
  </sheets>
  <definedNames>
    <definedName name="_xlnm._FilterDatabase" localSheetId="5" hidden="1">Sales!$A$1:$J$22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10" l="1"/>
  <c r="K3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I2" i="10" a="1"/>
  <c r="I2" i="10" s="1"/>
  <c r="I3" i="10" a="1"/>
  <c r="I3" i="10" s="1"/>
  <c r="I4" i="10" a="1"/>
  <c r="I4" i="10" s="1"/>
  <c r="I5" i="10" a="1"/>
  <c r="I5" i="10" s="1"/>
  <c r="I6" i="10" a="1"/>
  <c r="I6" i="10" s="1"/>
  <c r="I7" i="10" a="1"/>
  <c r="I7" i="10" s="1"/>
  <c r="I8" i="10" a="1"/>
  <c r="I8" i="10" s="1"/>
  <c r="I9" i="10" a="1"/>
  <c r="I9" i="10" s="1"/>
  <c r="I10" i="10" a="1"/>
  <c r="I10" i="10" s="1"/>
  <c r="I11" i="10" a="1"/>
  <c r="I11" i="10" s="1"/>
  <c r="I12" i="10" a="1"/>
  <c r="I12" i="10" s="1"/>
  <c r="I13" i="10" a="1"/>
  <c r="I13" i="10" s="1"/>
  <c r="I14" i="10" a="1"/>
  <c r="I14" i="10" s="1"/>
  <c r="I15" i="10" a="1"/>
  <c r="I15" i="10" s="1"/>
  <c r="I16" i="10" a="1"/>
  <c r="I16" i="10" s="1"/>
  <c r="I17" i="10" a="1"/>
  <c r="I17" i="10" s="1"/>
  <c r="I18" i="10" a="1"/>
  <c r="I18" i="10" s="1"/>
  <c r="I19" i="10" a="1"/>
  <c r="I19" i="10" s="1"/>
  <c r="I20" i="10" a="1"/>
  <c r="I20" i="10" s="1"/>
  <c r="I21" i="10" a="1"/>
  <c r="I21" i="10" s="1"/>
  <c r="I22" i="10" a="1"/>
  <c r="I22" i="10" s="1"/>
  <c r="B2" i="10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G19" i="23"/>
  <c r="E19" i="23"/>
  <c r="I19" i="23"/>
  <c r="D2" i="21"/>
  <c r="L18" i="10" s="1"/>
  <c r="D3" i="21"/>
  <c r="L2" i="10" s="1"/>
  <c r="D4" i="21"/>
  <c r="L10" i="10" s="1"/>
  <c r="D5" i="21"/>
  <c r="L4" i="10" s="1"/>
  <c r="D6" i="21"/>
  <c r="L6" i="10" s="1"/>
  <c r="D7" i="21"/>
  <c r="D8" i="21"/>
  <c r="D9" i="21"/>
  <c r="L11" i="10" s="1"/>
  <c r="D10" i="21"/>
  <c r="D11" i="21"/>
  <c r="L19" i="10" s="1"/>
  <c r="D12" i="21"/>
  <c r="D13" i="21"/>
  <c r="L21" i="10" s="1"/>
  <c r="D14" i="21"/>
  <c r="D15" i="21"/>
  <c r="L7" i="10" s="1"/>
  <c r="D16" i="21"/>
  <c r="L8" i="10" s="1"/>
  <c r="D17" i="21"/>
  <c r="D18" i="21"/>
  <c r="L12" i="10" s="1"/>
  <c r="D19" i="21"/>
  <c r="D20" i="21"/>
  <c r="L20" i="10" s="1"/>
  <c r="D21" i="21"/>
  <c r="D22" i="21"/>
  <c r="D23" i="21"/>
  <c r="L13" i="10" s="1"/>
  <c r="D24" i="21"/>
  <c r="L17" i="10" s="1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" i="10"/>
  <c r="L16" i="10" l="1"/>
  <c r="L15" i="10"/>
  <c r="L14" i="10"/>
  <c r="L9" i="10"/>
  <c r="L22" i="10"/>
  <c r="L5" i="10"/>
  <c r="L3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<sst xmlns="http://schemas.openxmlformats.org/spreadsheetml/2006/main" count="442" uniqueCount="283">
  <si>
    <t>6871</t>
  </si>
  <si>
    <t>Net 60</t>
  </si>
  <si>
    <t>BU1032</t>
  </si>
  <si>
    <t>722a</t>
  </si>
  <si>
    <t>PS2091</t>
  </si>
  <si>
    <t>A2976</t>
  </si>
  <si>
    <t>Net 30</t>
  </si>
  <si>
    <t>PC8888</t>
  </si>
  <si>
    <t>QA7442.3</t>
  </si>
  <si>
    <t>ON invoice</t>
  </si>
  <si>
    <t>D4482</t>
  </si>
  <si>
    <t>P2121</t>
  </si>
  <si>
    <t>TC3218</t>
  </si>
  <si>
    <t>TC4203</t>
  </si>
  <si>
    <t>TC7777</t>
  </si>
  <si>
    <t>N914008</t>
  </si>
  <si>
    <t>N914014</t>
  </si>
  <si>
    <t>MC3021</t>
  </si>
  <si>
    <t>P3087a</t>
  </si>
  <si>
    <t>PS1372</t>
  </si>
  <si>
    <t>PS2106</t>
  </si>
  <si>
    <t>PS3333</t>
  </si>
  <si>
    <t>PS7777</t>
  </si>
  <si>
    <t>QQ2299</t>
  </si>
  <si>
    <t>BU7832</t>
  </si>
  <si>
    <t>TQ456</t>
  </si>
  <si>
    <t>MC2222</t>
  </si>
  <si>
    <t>X999</t>
  </si>
  <si>
    <t>BU2075</t>
  </si>
  <si>
    <t>423LL922</t>
  </si>
  <si>
    <t>423LL930</t>
  </si>
  <si>
    <t>P723</t>
  </si>
  <si>
    <t>BU1111</t>
  </si>
  <si>
    <t>QA879.1</t>
  </si>
  <si>
    <t>PC1035</t>
  </si>
  <si>
    <t>Eric the Read Books</t>
  </si>
  <si>
    <t>788 Catamaugus Ave.</t>
  </si>
  <si>
    <t>Seattle</t>
  </si>
  <si>
    <t>WA</t>
  </si>
  <si>
    <t>Barnum's</t>
  </si>
  <si>
    <t>567 Pasadena Ave.</t>
  </si>
  <si>
    <t>Tustin</t>
  </si>
  <si>
    <t>CA</t>
  </si>
  <si>
    <t>News &amp; Brews</t>
  </si>
  <si>
    <t>577 First St.</t>
  </si>
  <si>
    <t>Los Gatos</t>
  </si>
  <si>
    <t>Doc-U-Mat: Quality Laundry and Books</t>
  </si>
  <si>
    <t>24-A Avogadro Way</t>
  </si>
  <si>
    <t>Remulade</t>
  </si>
  <si>
    <t>Fricative Bookshop</t>
  </si>
  <si>
    <t>89 Madison St.</t>
  </si>
  <si>
    <t>Fremont</t>
  </si>
  <si>
    <t>Bookbeat</t>
  </si>
  <si>
    <t>679 Carson St.</t>
  </si>
  <si>
    <t>Portland</t>
  </si>
  <si>
    <t>OR</t>
  </si>
  <si>
    <t>Berkeley</t>
  </si>
  <si>
    <t>New Moon Books</t>
  </si>
  <si>
    <t>Boston</t>
  </si>
  <si>
    <t>MA</t>
  </si>
  <si>
    <t>USA</t>
  </si>
  <si>
    <t>Binnet &amp; Hardley</t>
  </si>
  <si>
    <t>Washington</t>
  </si>
  <si>
    <t>DC</t>
  </si>
  <si>
    <t>Algodata Infosystems</t>
  </si>
  <si>
    <t>Five Lakes Publishing</t>
  </si>
  <si>
    <t>Chicago</t>
  </si>
  <si>
    <t>IL</t>
  </si>
  <si>
    <t>Ramona Publishers</t>
  </si>
  <si>
    <t>Dallas</t>
  </si>
  <si>
    <t>TX</t>
  </si>
  <si>
    <t>GGG&amp;G</t>
  </si>
  <si>
    <t>Germany</t>
  </si>
  <si>
    <t>Scootney Books</t>
  </si>
  <si>
    <t>New York</t>
  </si>
  <si>
    <t>NY</t>
  </si>
  <si>
    <t>Lucerne Publishing</t>
  </si>
  <si>
    <t>Paris</t>
  </si>
  <si>
    <t>France</t>
  </si>
  <si>
    <t>Total</t>
  </si>
  <si>
    <t>Store ID</t>
  </si>
  <si>
    <t>Store Name</t>
  </si>
  <si>
    <t>Address</t>
  </si>
  <si>
    <t>City</t>
  </si>
  <si>
    <t>State</t>
  </si>
  <si>
    <t>Postal Code</t>
  </si>
  <si>
    <t>Publisher ID</t>
  </si>
  <si>
    <t>Publisher Name</t>
  </si>
  <si>
    <t>Munchen</t>
  </si>
  <si>
    <t>Order Number</t>
  </si>
  <si>
    <t>Order Date</t>
  </si>
  <si>
    <t>Quantity</t>
  </si>
  <si>
    <t>Payment Terms</t>
  </si>
  <si>
    <t>Title ID</t>
  </si>
  <si>
    <t>Price</t>
  </si>
  <si>
    <t>Author ID</t>
  </si>
  <si>
    <t>Last Name</t>
  </si>
  <si>
    <t>First Name</t>
  </si>
  <si>
    <t>172-32-1176</t>
  </si>
  <si>
    <t>White</t>
  </si>
  <si>
    <t>Johnson</t>
  </si>
  <si>
    <t>10932 Bigge Rd.</t>
  </si>
  <si>
    <t>Menlo Park</t>
  </si>
  <si>
    <t>94025</t>
  </si>
  <si>
    <t>213-46-8915</t>
  </si>
  <si>
    <t>Green</t>
  </si>
  <si>
    <t>Marjorie</t>
  </si>
  <si>
    <t>309 63rd St. #411</t>
  </si>
  <si>
    <t>Oakland</t>
  </si>
  <si>
    <t>94618</t>
  </si>
  <si>
    <t>238-95-7766</t>
  </si>
  <si>
    <t>Carson</t>
  </si>
  <si>
    <t>Cheryl</t>
  </si>
  <si>
    <t>589 Darwin Ln.</t>
  </si>
  <si>
    <t>94705</t>
  </si>
  <si>
    <t>267-41-2394</t>
  </si>
  <si>
    <t>O'Leary</t>
  </si>
  <si>
    <t>Michael</t>
  </si>
  <si>
    <t>22 Cleveland Av. #14</t>
  </si>
  <si>
    <t>San Jose</t>
  </si>
  <si>
    <t>95128</t>
  </si>
  <si>
    <t>274-80-9391</t>
  </si>
  <si>
    <t>Straight</t>
  </si>
  <si>
    <t>Dean</t>
  </si>
  <si>
    <t>5420 College Av.</t>
  </si>
  <si>
    <t>94609</t>
  </si>
  <si>
    <t>341-22-1782</t>
  </si>
  <si>
    <t>Smith</t>
  </si>
  <si>
    <t>Meander</t>
  </si>
  <si>
    <t>10 Mississippi Dr.</t>
  </si>
  <si>
    <t>Lawrence</t>
  </si>
  <si>
    <t>KS</t>
  </si>
  <si>
    <t>66044</t>
  </si>
  <si>
    <t>409-56-7008</t>
  </si>
  <si>
    <t>Bennet</t>
  </si>
  <si>
    <t>Abraham</t>
  </si>
  <si>
    <t>6223 Bateman St.</t>
  </si>
  <si>
    <t>427-17-2319</t>
  </si>
  <si>
    <t>Dull</t>
  </si>
  <si>
    <t>Ann</t>
  </si>
  <si>
    <t>3410 Blonde St.</t>
  </si>
  <si>
    <t>Palo Alto</t>
  </si>
  <si>
    <t>94301</t>
  </si>
  <si>
    <t>472-27-2349</t>
  </si>
  <si>
    <t>Gringlesby</t>
  </si>
  <si>
    <t>Burt</t>
  </si>
  <si>
    <t>PO Box 792</t>
  </si>
  <si>
    <t>Covelo</t>
  </si>
  <si>
    <t>95428</t>
  </si>
  <si>
    <t>486-29-1786</t>
  </si>
  <si>
    <t>Locksley</t>
  </si>
  <si>
    <t>Charlene</t>
  </si>
  <si>
    <t>18 Broadway Av.</t>
  </si>
  <si>
    <t>San Francisco</t>
  </si>
  <si>
    <t>94130</t>
  </si>
  <si>
    <t>527-72-3246</t>
  </si>
  <si>
    <t>Greene</t>
  </si>
  <si>
    <t>Morningstar</t>
  </si>
  <si>
    <t>22 Graybar House Rd.</t>
  </si>
  <si>
    <t>Nashville</t>
  </si>
  <si>
    <t>TN</t>
  </si>
  <si>
    <t>37215</t>
  </si>
  <si>
    <t>648-92-1872</t>
  </si>
  <si>
    <t>Blotchet-Halls</t>
  </si>
  <si>
    <t>Reginald</t>
  </si>
  <si>
    <t>55 Hillsdale Bl.</t>
  </si>
  <si>
    <t>Corvallis</t>
  </si>
  <si>
    <t>97330</t>
  </si>
  <si>
    <t>672-71-3249</t>
  </si>
  <si>
    <t>Yokomoto</t>
  </si>
  <si>
    <t>Akiko</t>
  </si>
  <si>
    <t>3 Silver Ct.</t>
  </si>
  <si>
    <t>Walnut Creek</t>
  </si>
  <si>
    <t>94595</t>
  </si>
  <si>
    <t>712-45-1867</t>
  </si>
  <si>
    <t>del Castillo</t>
  </si>
  <si>
    <t>Innes</t>
  </si>
  <si>
    <t>2286 Cram Pl. #86</t>
  </si>
  <si>
    <t>Ann Arbor</t>
  </si>
  <si>
    <t>MI</t>
  </si>
  <si>
    <t>48105</t>
  </si>
  <si>
    <t>722-51-5454</t>
  </si>
  <si>
    <t>DeFrance</t>
  </si>
  <si>
    <t>Michel</t>
  </si>
  <si>
    <t>3 Balding Pl.</t>
  </si>
  <si>
    <t>Gary</t>
  </si>
  <si>
    <t>IN</t>
  </si>
  <si>
    <t>46403</t>
  </si>
  <si>
    <t>724-08-9931</t>
  </si>
  <si>
    <t>Stringer</t>
  </si>
  <si>
    <t>Dirk</t>
  </si>
  <si>
    <t>5420 Telegraph Av.</t>
  </si>
  <si>
    <t>724-80-9391</t>
  </si>
  <si>
    <t>MacFeather</t>
  </si>
  <si>
    <t>Stearns</t>
  </si>
  <si>
    <t>44 Upland Hts.</t>
  </si>
  <si>
    <t>94612</t>
  </si>
  <si>
    <t>756-30-7391</t>
  </si>
  <si>
    <t>Karsen</t>
  </si>
  <si>
    <t>Livia</t>
  </si>
  <si>
    <t>5720 McAuley St.</t>
  </si>
  <si>
    <t>807-91-6654</t>
  </si>
  <si>
    <t>Panteley</t>
  </si>
  <si>
    <t>Sylvia</t>
  </si>
  <si>
    <t>1956 Arlington Pl.</t>
  </si>
  <si>
    <t>Rockville</t>
  </si>
  <si>
    <t>MD</t>
  </si>
  <si>
    <t>20853</t>
  </si>
  <si>
    <t>846-92-7186</t>
  </si>
  <si>
    <t>Hunter</t>
  </si>
  <si>
    <t>Sheryl</t>
  </si>
  <si>
    <t>893-72-1158</t>
  </si>
  <si>
    <t>McBadden</t>
  </si>
  <si>
    <t>Heather</t>
  </si>
  <si>
    <t>301 Putnam</t>
  </si>
  <si>
    <t>Vacaville</t>
  </si>
  <si>
    <t>95688</t>
  </si>
  <si>
    <t>899-46-2035</t>
  </si>
  <si>
    <t>Ringer</t>
  </si>
  <si>
    <t>Anne</t>
  </si>
  <si>
    <t>67 Seventh Av.</t>
  </si>
  <si>
    <t>Salt Lake City</t>
  </si>
  <si>
    <t>UT</t>
  </si>
  <si>
    <t>84152</t>
  </si>
  <si>
    <t>998-72-3567</t>
  </si>
  <si>
    <t>Albert</t>
  </si>
  <si>
    <t>PC9999</t>
  </si>
  <si>
    <t>Book Type</t>
  </si>
  <si>
    <t>List Price</t>
  </si>
  <si>
    <t>Royalty Percentage</t>
  </si>
  <si>
    <t>YTD Sales</t>
  </si>
  <si>
    <t>Publication Date</t>
  </si>
  <si>
    <t>The Busy Executive's Database Guide</t>
  </si>
  <si>
    <t>business</t>
  </si>
  <si>
    <t>An overview of available database systems with emphasis on common business applications. Illustrated.</t>
  </si>
  <si>
    <t>Cooking with Computers: Surreptitious Balance Sheets</t>
  </si>
  <si>
    <t>Helpful hints on how to use your electronic resources to the best advantage.</t>
  </si>
  <si>
    <t>You Can Combat Computer Stress!</t>
  </si>
  <si>
    <t>The latest medical and psychological techniques for living with the electronic office. Easy-to-understand explanations.</t>
  </si>
  <si>
    <t>Straight Talk About Computers</t>
  </si>
  <si>
    <t>Annotated analysis of what computers can do for you: a no-hype guide for the critical user.</t>
  </si>
  <si>
    <t>Silicon Valley Gastronomic Treats</t>
  </si>
  <si>
    <t>mod_cook</t>
  </si>
  <si>
    <t>Favorite recipes for quick, easy, and elegant meals.</t>
  </si>
  <si>
    <t>The Gourmet Microwave</t>
  </si>
  <si>
    <t>Traditional French gourmet recipes adapted for modern microwave cooking.</t>
  </si>
  <si>
    <t>But Is It User Friendly?</t>
  </si>
  <si>
    <t>popular_comp</t>
  </si>
  <si>
    <t>A survey of software for the naive user, focusing on the 'friendliness' of each.</t>
  </si>
  <si>
    <t>Secrets of Silicon Valley</t>
  </si>
  <si>
    <t>Muckraking reporting on the world's largest computer hardware and software manufacturers.</t>
  </si>
  <si>
    <t>Net Etiquette</t>
  </si>
  <si>
    <t>A must-read for computer conferencing.</t>
  </si>
  <si>
    <t>Computer Phobic AND Non-Phobic Individuals: Behavior Variations</t>
  </si>
  <si>
    <t>psychology</t>
  </si>
  <si>
    <t>A must for the specialist, this book examines the difference between those who hate and fear computers and those who don't.</t>
  </si>
  <si>
    <t>Is Anger the Enemy?</t>
  </si>
  <si>
    <t>Carefully researched study of the effects of strong emotions on the body. Metabolic charts included.</t>
  </si>
  <si>
    <t>Life Without Fear</t>
  </si>
  <si>
    <t>New exercise, meditation, and nutritional techniques that can reduce the shock of daily interactions. Popular audience. Sample menus included, exercise video available separately.</t>
  </si>
  <si>
    <t>Prolonged Data Deprivation: Four Case Studies</t>
  </si>
  <si>
    <t>What happens when the data runs dry?  Searching evaluations of information-shortage effects.</t>
  </si>
  <si>
    <t>Emotional Security: A New Algorithm</t>
  </si>
  <si>
    <t>Protecting yourself and your loved ones from undue emotional stress in the modern world. Use of computer and nutritional aids emphasized.</t>
  </si>
  <si>
    <t>Onions, Leeks, and Garlic: Cooking Secrets of the Mediterranean</t>
  </si>
  <si>
    <t>trad_cook</t>
  </si>
  <si>
    <t>Profusely illustrated in color, this makes a wonderful gift book for a cuisine-oriented friend.</t>
  </si>
  <si>
    <t>Fifty Years in Buckingham Palace Kitchens</t>
  </si>
  <si>
    <t>More anecdotes from the Queen's favorite cook describing life among English royalty. Recipes, techniques, tender vignettes.</t>
  </si>
  <si>
    <t>Sushi, Anyone?</t>
  </si>
  <si>
    <t>Detailed instructions on how to make authentic Japanese sushi in your spare time.</t>
  </si>
  <si>
    <t>Title</t>
  </si>
  <si>
    <t>Notes</t>
  </si>
  <si>
    <t>Country</t>
  </si>
  <si>
    <t>Count of Publishers</t>
  </si>
  <si>
    <t>Percent of Total</t>
  </si>
  <si>
    <t>Manchester</t>
  </si>
  <si>
    <t>NH</t>
  </si>
  <si>
    <t>Hartford</t>
  </si>
  <si>
    <t>CT</t>
  </si>
  <si>
    <t>Payment Due</t>
  </si>
  <si>
    <t>Author</t>
  </si>
  <si>
    <t>Full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</si>
</sst>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3">
    <xf numFmtId="0" fontId="0" fillId="0" borderId="0" xfId="0"/>
    <xf numFmtId="0" fontId="3" fillId="0" borderId="0" xfId="0" applyFont="1" applyAlignment="1">
      <alignment wrapText="1"/>
    </xf>
    <xf numFmtId="0" fontId="3" fillId="0" borderId="0" xfId="0" applyFont="1"/>
    <xf numFmtId="0" fontId="3" fillId="0" borderId="0" xfId="1" applyNumberFormat="1" applyFont="1" applyFill="1" applyBorder="1"/>
    <xf numFmtId="0" fontId="3" fillId="0" borderId="0" xfId="0" applyFont="1" applyAlignment="1">
      <alignment horizontal="left" wrapText="1"/>
    </xf>
    <xf numFmtId="0" fontId="3" fillId="0" borderId="0" xfId="0" applyFont="1" applyAlignment="1">
      <alignment horizontal="left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4" fillId="0" borderId="1" xfId="0" applyFont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3" xfId="0" applyFont="1" applyBorder="1" applyAlignment="1">
      <alignment horizontal="center" wrapText="1"/>
    </xf>
    <xf numFmtId="0" fontId="2" fillId="0" borderId="0" xfId="0" applyFont="1" applyFill="1" applyBorder="1" applyAlignment="1">
      <alignment horizontal="left" wrapText="1"/>
    </xf>
    <xf numFmtId="0" fontId="2" fillId="0" borderId="0" xfId="1" applyNumberFormat="1" applyFont="1" applyFill="1" applyBorder="1" applyAlignment="1">
      <alignment horizontal="left" wrapText="1"/>
    </xf>
    <xf numFmtId="0" fontId="2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left"/>
    </xf>
    <xf numFmtId="14" fontId="3" fillId="0" borderId="0" xfId="0" applyNumberFormat="1" applyFont="1" applyFill="1" applyBorder="1" applyAlignment="1">
      <alignment horizontal="left"/>
    </xf>
    <xf numFmtId="0" fontId="3" fillId="0" borderId="0" xfId="1" applyNumberFormat="1" applyFont="1" applyFill="1" applyBorder="1" applyAlignment="1">
      <alignment horizontal="left"/>
    </xf>
    <xf numFmtId="0" fontId="3" fillId="0" borderId="0" xfId="0" applyFont="1" applyFill="1" applyBorder="1"/>
    <xf numFmtId="0" fontId="2" fillId="0" borderId="0" xfId="0" applyFont="1" applyFill="1" applyBorder="1" applyAlignment="1">
      <alignment horizontal="left"/>
    </xf>
    <xf numFmtId="22" fontId="3" fillId="0" borderId="0" xfId="0" applyNumberFormat="1" applyFont="1" applyFill="1" applyBorder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6CF3B-7B55-47B5-84EC-D14A423A3486}">
  <sheetPr codeName="Sheet1"/>
  <dimension ref="A1:F7"/>
  <sheetViews>
    <sheetView workbookViewId="0">
      <selection activeCell="B14" sqref="B14"/>
    </sheetView>
  </sheetViews>
  <sheetFormatPr defaultRowHeight="15" x14ac:dyDescent="0.25"/>
  <cols>
    <col min="1" max="1" width="10.140625" style="5" customWidth="1"/>
    <col min="2" max="2" width="35.5703125" style="5" bestFit="1" customWidth="1"/>
    <col min="3" max="3" width="19.85546875" style="5" bestFit="1" customWidth="1"/>
    <col min="4" max="4" width="10" style="5" bestFit="1" customWidth="1"/>
    <col min="5" max="5" width="7.7109375" style="5" bestFit="1" customWidth="1"/>
    <col min="6" max="6" width="13.5703125" style="5" customWidth="1"/>
    <col min="7" max="16384" width="9.140625" style="5"/>
  </cols>
  <sheetData>
    <row r="1" spans="1:6" s="4" customFormat="1" x14ac:dyDescent="0.25">
      <c r="A1" s="14" t="s">
        <v>80</v>
      </c>
      <c r="B1" s="14" t="s">
        <v>81</v>
      </c>
      <c r="C1" s="14" t="s">
        <v>82</v>
      </c>
      <c r="D1" s="14" t="s">
        <v>83</v>
      </c>
      <c r="E1" s="14" t="s">
        <v>84</v>
      </c>
      <c r="F1" s="14" t="s">
        <v>85</v>
      </c>
    </row>
    <row r="2" spans="1:6" x14ac:dyDescent="0.25">
      <c r="A2" s="17">
        <v>6380</v>
      </c>
      <c r="B2" s="17" t="s">
        <v>35</v>
      </c>
      <c r="C2" s="17" t="s">
        <v>36</v>
      </c>
      <c r="D2" s="17" t="s">
        <v>37</v>
      </c>
      <c r="E2" s="17" t="s">
        <v>38</v>
      </c>
      <c r="F2" s="17">
        <v>98056</v>
      </c>
    </row>
    <row r="3" spans="1:6" x14ac:dyDescent="0.25">
      <c r="A3" s="17">
        <v>7066</v>
      </c>
      <c r="B3" s="17" t="s">
        <v>39</v>
      </c>
      <c r="C3" s="17" t="s">
        <v>40</v>
      </c>
      <c r="D3" s="17" t="s">
        <v>41</v>
      </c>
      <c r="E3" s="17" t="s">
        <v>42</v>
      </c>
      <c r="F3" s="17">
        <v>92789</v>
      </c>
    </row>
    <row r="4" spans="1:6" x14ac:dyDescent="0.25">
      <c r="A4" s="17">
        <v>7067</v>
      </c>
      <c r="B4" s="17" t="s">
        <v>43</v>
      </c>
      <c r="C4" s="17" t="s">
        <v>44</v>
      </c>
      <c r="D4" s="17" t="s">
        <v>45</v>
      </c>
      <c r="E4" s="17" t="s">
        <v>42</v>
      </c>
      <c r="F4" s="17">
        <v>96745</v>
      </c>
    </row>
    <row r="5" spans="1:6" x14ac:dyDescent="0.25">
      <c r="A5" s="17">
        <v>7131</v>
      </c>
      <c r="B5" s="17" t="s">
        <v>46</v>
      </c>
      <c r="C5" s="17" t="s">
        <v>47</v>
      </c>
      <c r="D5" s="17" t="s">
        <v>48</v>
      </c>
      <c r="E5" s="17" t="s">
        <v>38</v>
      </c>
      <c r="F5" s="17">
        <v>98014</v>
      </c>
    </row>
    <row r="6" spans="1:6" x14ac:dyDescent="0.25">
      <c r="A6" s="17">
        <v>7896</v>
      </c>
      <c r="B6" s="17" t="s">
        <v>49</v>
      </c>
      <c r="C6" s="17" t="s">
        <v>50</v>
      </c>
      <c r="D6" s="17" t="s">
        <v>51</v>
      </c>
      <c r="E6" s="17" t="s">
        <v>42</v>
      </c>
      <c r="F6" s="17">
        <v>90019</v>
      </c>
    </row>
    <row r="7" spans="1:6" x14ac:dyDescent="0.25">
      <c r="A7" s="17">
        <v>8042</v>
      </c>
      <c r="B7" s="17" t="s">
        <v>52</v>
      </c>
      <c r="C7" s="17" t="s">
        <v>53</v>
      </c>
      <c r="D7" s="17" t="s">
        <v>54</v>
      </c>
      <c r="E7" s="17" t="s">
        <v>55</v>
      </c>
      <c r="F7" s="17">
        <v>89076</v>
      </c>
    </row>
  </sheetData>
  <pageMargins left="0.7" right="0.7" top="0.75" bottom="0.75" header="0.3" footer="0.3"/>
  <pageSetup orientation="portrait" verticalDpi="597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67DFE-A647-4A08-BF29-696B3FCAF147}">
  <sheetPr codeName="Sheet2"/>
  <dimension ref="A1:E9"/>
  <sheetViews>
    <sheetView tabSelected="1" workbookViewId="0">
      <selection activeCell="I14" sqref="I14"/>
    </sheetView>
  </sheetViews>
  <sheetFormatPr defaultColWidth="7.42578125" defaultRowHeight="15" x14ac:dyDescent="0.25"/>
  <cols>
    <col min="1" max="1" width="13.85546875" style="5" customWidth="1"/>
    <col min="2" max="2" width="17.28515625" style="5" customWidth="1"/>
    <col min="3" max="3" width="7.42578125" style="5"/>
    <col min="4" max="4" width="7.7109375" style="5" customWidth="1"/>
    <col min="5" max="5" width="13.5703125" style="5" customWidth="1"/>
    <col min="6" max="16384" width="7.42578125" style="2"/>
  </cols>
  <sheetData>
    <row r="1" spans="1:5" s="1" customFormat="1" x14ac:dyDescent="0.25">
      <c r="A1" s="14" t="s">
        <v>86</v>
      </c>
      <c r="B1" s="14" t="s">
        <v>87</v>
      </c>
      <c r="C1" s="14" t="s">
        <v>83</v>
      </c>
      <c r="D1" s="14" t="s">
        <v>84</v>
      </c>
      <c r="E1" s="14" t="s">
        <v>85</v>
      </c>
    </row>
    <row r="2" spans="1:5" x14ac:dyDescent="0.25">
      <c r="A2" s="17">
        <v>736</v>
      </c>
      <c r="B2" s="17" t="s">
        <v>57</v>
      </c>
      <c r="C2" s="17" t="s">
        <v>58</v>
      </c>
      <c r="D2" s="17" t="s">
        <v>59</v>
      </c>
      <c r="E2" s="17" t="s">
        <v>60</v>
      </c>
    </row>
    <row r="3" spans="1:5" x14ac:dyDescent="0.25">
      <c r="A3" s="17">
        <v>877</v>
      </c>
      <c r="B3" s="17" t="s">
        <v>61</v>
      </c>
      <c r="C3" s="17" t="s">
        <v>62</v>
      </c>
      <c r="D3" s="17" t="s">
        <v>63</v>
      </c>
      <c r="E3" s="17" t="s">
        <v>60</v>
      </c>
    </row>
    <row r="4" spans="1:5" x14ac:dyDescent="0.25">
      <c r="A4" s="17">
        <v>1389</v>
      </c>
      <c r="B4" s="17" t="s">
        <v>64</v>
      </c>
      <c r="C4" s="17" t="s">
        <v>56</v>
      </c>
      <c r="D4" s="17" t="s">
        <v>42</v>
      </c>
      <c r="E4" s="17" t="s">
        <v>60</v>
      </c>
    </row>
    <row r="5" spans="1:5" x14ac:dyDescent="0.25">
      <c r="A5" s="17">
        <v>1622</v>
      </c>
      <c r="B5" s="17" t="s">
        <v>65</v>
      </c>
      <c r="C5" s="17" t="s">
        <v>66</v>
      </c>
      <c r="D5" s="17" t="s">
        <v>67</v>
      </c>
      <c r="E5" s="17" t="s">
        <v>60</v>
      </c>
    </row>
    <row r="6" spans="1:5" x14ac:dyDescent="0.25">
      <c r="A6" s="17">
        <v>1756</v>
      </c>
      <c r="B6" s="17" t="s">
        <v>68</v>
      </c>
      <c r="C6" s="17" t="s">
        <v>69</v>
      </c>
      <c r="D6" s="17" t="s">
        <v>70</v>
      </c>
      <c r="E6" s="17" t="s">
        <v>60</v>
      </c>
    </row>
    <row r="7" spans="1:5" x14ac:dyDescent="0.25">
      <c r="A7" s="17">
        <v>9901</v>
      </c>
      <c r="B7" s="17" t="s">
        <v>71</v>
      </c>
      <c r="C7" s="17" t="s">
        <v>88</v>
      </c>
      <c r="D7" s="17"/>
      <c r="E7" s="17" t="s">
        <v>72</v>
      </c>
    </row>
    <row r="8" spans="1:5" x14ac:dyDescent="0.25">
      <c r="A8" s="17">
        <v>9952</v>
      </c>
      <c r="B8" s="17" t="s">
        <v>73</v>
      </c>
      <c r="C8" s="17" t="s">
        <v>74</v>
      </c>
      <c r="D8" s="17" t="s">
        <v>75</v>
      </c>
      <c r="E8" s="17" t="s">
        <v>60</v>
      </c>
    </row>
    <row r="9" spans="1:5" x14ac:dyDescent="0.25">
      <c r="A9" s="17">
        <v>9999</v>
      </c>
      <c r="B9" s="17" t="s">
        <v>76</v>
      </c>
      <c r="C9" s="17" t="s">
        <v>77</v>
      </c>
      <c r="D9" s="17"/>
      <c r="E9" s="17" t="s">
        <v>78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6F71B-0853-4CE3-AB13-F098AD3ED6E8}">
  <sheetPr codeName="Sheet4"/>
  <dimension ref="A1:I19"/>
  <sheetViews>
    <sheetView topLeftCell="C1" workbookViewId="0">
      <selection activeCell="D10" sqref="A1:I19"/>
    </sheetView>
  </sheetViews>
  <sheetFormatPr defaultRowHeight="15" x14ac:dyDescent="0.25"/>
  <cols>
    <col min="1" max="1" width="9.5703125" style="5" bestFit="1" customWidth="1"/>
    <col min="2" max="2" width="61.7109375" style="5" bestFit="1" customWidth="1"/>
    <col min="3" max="3" width="13.85546875" style="5" bestFit="1" customWidth="1"/>
    <col min="4" max="4" width="14" style="5" bestFit="1" customWidth="1"/>
    <col min="5" max="5" width="11.140625" style="5" bestFit="1" customWidth="1"/>
    <col min="6" max="6" width="20.5703125" style="5" bestFit="1" customWidth="1"/>
    <col min="7" max="7" width="11.7109375" style="5" bestFit="1" customWidth="1"/>
    <col min="8" max="8" width="81.140625" style="5" bestFit="1" customWidth="1"/>
    <col min="9" max="9" width="18" style="5" bestFit="1" customWidth="1"/>
    <col min="10" max="16384" width="9.140625" style="5"/>
  </cols>
  <sheetData>
    <row r="1" spans="1:9" x14ac:dyDescent="0.25">
      <c r="A1" s="21" t="s">
        <v>93</v>
      </c>
      <c r="B1" s="21" t="s">
        <v>271</v>
      </c>
      <c r="C1" s="21" t="s">
        <v>227</v>
      </c>
      <c r="D1" s="21" t="s">
        <v>86</v>
      </c>
      <c r="E1" s="21" t="s">
        <v>228</v>
      </c>
      <c r="F1" s="21" t="s">
        <v>229</v>
      </c>
      <c r="G1" s="21" t="s">
        <v>230</v>
      </c>
      <c r="H1" s="21" t="s">
        <v>272</v>
      </c>
      <c r="I1" s="21" t="s">
        <v>231</v>
      </c>
    </row>
    <row r="2" spans="1:9" x14ac:dyDescent="0.25">
      <c r="A2" s="17" t="s">
        <v>2</v>
      </c>
      <c r="B2" s="17" t="s">
        <v>232</v>
      </c>
      <c r="C2" s="17" t="s">
        <v>233</v>
      </c>
      <c r="D2" s="17">
        <v>1389</v>
      </c>
      <c r="E2" s="17">
        <v>19.989999999999998</v>
      </c>
      <c r="F2" s="17">
        <v>10</v>
      </c>
      <c r="G2" s="17">
        <v>4095</v>
      </c>
      <c r="H2" s="17" t="s">
        <v>234</v>
      </c>
      <c r="I2" s="22">
        <v>43994</v>
      </c>
    </row>
    <row r="3" spans="1:9" x14ac:dyDescent="0.25">
      <c r="A3" s="17" t="s">
        <v>32</v>
      </c>
      <c r="B3" s="17" t="s">
        <v>235</v>
      </c>
      <c r="C3" s="17" t="s">
        <v>233</v>
      </c>
      <c r="D3" s="17">
        <v>1389</v>
      </c>
      <c r="E3" s="17">
        <v>11.95</v>
      </c>
      <c r="F3" s="17">
        <v>10</v>
      </c>
      <c r="G3" s="17">
        <v>3876</v>
      </c>
      <c r="H3" s="17" t="s">
        <v>236</v>
      </c>
      <c r="I3" s="22">
        <v>43991</v>
      </c>
    </row>
    <row r="4" spans="1:9" x14ac:dyDescent="0.25">
      <c r="A4" s="17" t="s">
        <v>28</v>
      </c>
      <c r="B4" s="17" t="s">
        <v>237</v>
      </c>
      <c r="C4" s="17" t="s">
        <v>233</v>
      </c>
      <c r="D4" s="17">
        <v>736</v>
      </c>
      <c r="E4" s="17">
        <v>2.99</v>
      </c>
      <c r="F4" s="17">
        <v>24</v>
      </c>
      <c r="G4" s="17">
        <v>18722</v>
      </c>
      <c r="H4" s="17" t="s">
        <v>238</v>
      </c>
      <c r="I4" s="22">
        <v>44012</v>
      </c>
    </row>
    <row r="5" spans="1:9" x14ac:dyDescent="0.25">
      <c r="A5" s="17" t="s">
        <v>24</v>
      </c>
      <c r="B5" s="17" t="s">
        <v>239</v>
      </c>
      <c r="C5" s="17" t="s">
        <v>233</v>
      </c>
      <c r="D5" s="17">
        <v>1389</v>
      </c>
      <c r="E5" s="17">
        <v>19.989999999999998</v>
      </c>
      <c r="F5" s="17">
        <v>10</v>
      </c>
      <c r="G5" s="17">
        <v>4095</v>
      </c>
      <c r="H5" s="17" t="s">
        <v>240</v>
      </c>
      <c r="I5" s="22">
        <v>44004</v>
      </c>
    </row>
    <row r="6" spans="1:9" x14ac:dyDescent="0.25">
      <c r="A6" s="17" t="s">
        <v>26</v>
      </c>
      <c r="B6" s="17" t="s">
        <v>241</v>
      </c>
      <c r="C6" s="17" t="s">
        <v>242</v>
      </c>
      <c r="D6" s="17">
        <v>877</v>
      </c>
      <c r="E6" s="17">
        <v>19.989999999999998</v>
      </c>
      <c r="F6" s="17">
        <v>12</v>
      </c>
      <c r="G6" s="17">
        <v>2032</v>
      </c>
      <c r="H6" s="17" t="s">
        <v>243</v>
      </c>
      <c r="I6" s="22">
        <v>44721</v>
      </c>
    </row>
    <row r="7" spans="1:9" x14ac:dyDescent="0.25">
      <c r="A7" s="17" t="s">
        <v>17</v>
      </c>
      <c r="B7" s="17" t="s">
        <v>244</v>
      </c>
      <c r="C7" s="17" t="s">
        <v>242</v>
      </c>
      <c r="D7" s="17">
        <v>877</v>
      </c>
      <c r="E7" s="17">
        <v>2.99</v>
      </c>
      <c r="F7" s="17">
        <v>24</v>
      </c>
      <c r="G7" s="17">
        <v>22246</v>
      </c>
      <c r="H7" s="17" t="s">
        <v>245</v>
      </c>
      <c r="I7" s="22">
        <v>44000</v>
      </c>
    </row>
    <row r="8" spans="1:9" x14ac:dyDescent="0.25">
      <c r="A8" s="17" t="s">
        <v>34</v>
      </c>
      <c r="B8" s="17" t="s">
        <v>246</v>
      </c>
      <c r="C8" s="17" t="s">
        <v>247</v>
      </c>
      <c r="D8" s="17">
        <v>1389</v>
      </c>
      <c r="E8" s="17">
        <v>22.95</v>
      </c>
      <c r="F8" s="17">
        <v>16</v>
      </c>
      <c r="G8" s="17">
        <v>8780</v>
      </c>
      <c r="H8" s="17" t="s">
        <v>248</v>
      </c>
      <c r="I8" s="22">
        <v>44012</v>
      </c>
    </row>
    <row r="9" spans="1:9" x14ac:dyDescent="0.25">
      <c r="A9" s="17" t="s">
        <v>7</v>
      </c>
      <c r="B9" s="17" t="s">
        <v>249</v>
      </c>
      <c r="C9" s="17" t="s">
        <v>247</v>
      </c>
      <c r="D9" s="17">
        <v>1389</v>
      </c>
      <c r="E9" s="17">
        <v>20</v>
      </c>
      <c r="F9" s="17">
        <v>10</v>
      </c>
      <c r="G9" s="17">
        <v>4095</v>
      </c>
      <c r="H9" s="17" t="s">
        <v>250</v>
      </c>
      <c r="I9" s="22">
        <v>44724</v>
      </c>
    </row>
    <row r="10" spans="1:9" x14ac:dyDescent="0.25">
      <c r="A10" s="17" t="s">
        <v>226</v>
      </c>
      <c r="B10" s="17" t="s">
        <v>251</v>
      </c>
      <c r="C10" s="17" t="s">
        <v>247</v>
      </c>
      <c r="D10" s="17">
        <v>1389</v>
      </c>
      <c r="E10" s="17">
        <v>25.99</v>
      </c>
      <c r="F10" s="17">
        <v>15</v>
      </c>
      <c r="G10" s="17">
        <v>259.89999999999998</v>
      </c>
      <c r="H10" s="17" t="s">
        <v>252</v>
      </c>
      <c r="I10" s="22">
        <v>45145.611430173609</v>
      </c>
    </row>
    <row r="11" spans="1:9" x14ac:dyDescent="0.25">
      <c r="A11" s="17" t="s">
        <v>19</v>
      </c>
      <c r="B11" s="17" t="s">
        <v>253</v>
      </c>
      <c r="C11" s="17" t="s">
        <v>254</v>
      </c>
      <c r="D11" s="17">
        <v>877</v>
      </c>
      <c r="E11" s="17">
        <v>21.59</v>
      </c>
      <c r="F11" s="17">
        <v>10</v>
      </c>
      <c r="G11" s="17">
        <v>375</v>
      </c>
      <c r="H11" s="17" t="s">
        <v>255</v>
      </c>
      <c r="I11" s="22">
        <v>44855</v>
      </c>
    </row>
    <row r="12" spans="1:9" x14ac:dyDescent="0.25">
      <c r="A12" s="17" t="s">
        <v>4</v>
      </c>
      <c r="B12" s="17" t="s">
        <v>256</v>
      </c>
      <c r="C12" s="17" t="s">
        <v>254</v>
      </c>
      <c r="D12" s="17">
        <v>736</v>
      </c>
      <c r="E12" s="17">
        <v>10.95</v>
      </c>
      <c r="F12" s="17">
        <v>12</v>
      </c>
      <c r="G12" s="17">
        <v>2045</v>
      </c>
      <c r="H12" s="17" t="s">
        <v>257</v>
      </c>
      <c r="I12" s="22">
        <v>43997</v>
      </c>
    </row>
    <row r="13" spans="1:9" x14ac:dyDescent="0.25">
      <c r="A13" s="17" t="s">
        <v>20</v>
      </c>
      <c r="B13" s="17" t="s">
        <v>258</v>
      </c>
      <c r="C13" s="17" t="s">
        <v>254</v>
      </c>
      <c r="D13" s="17">
        <v>736</v>
      </c>
      <c r="E13" s="17">
        <v>7</v>
      </c>
      <c r="F13" s="17">
        <v>10</v>
      </c>
      <c r="G13" s="17">
        <v>111</v>
      </c>
      <c r="H13" s="17" t="s">
        <v>259</v>
      </c>
      <c r="I13" s="22">
        <v>44109</v>
      </c>
    </row>
    <row r="14" spans="1:9" x14ac:dyDescent="0.25">
      <c r="A14" s="17" t="s">
        <v>21</v>
      </c>
      <c r="B14" s="17" t="s">
        <v>260</v>
      </c>
      <c r="C14" s="17" t="s">
        <v>254</v>
      </c>
      <c r="D14" s="17">
        <v>736</v>
      </c>
      <c r="E14" s="17">
        <v>19.989999999999998</v>
      </c>
      <c r="F14" s="17">
        <v>10</v>
      </c>
      <c r="G14" s="17">
        <v>4072</v>
      </c>
      <c r="H14" s="17" t="s">
        <v>261</v>
      </c>
      <c r="I14" s="22">
        <v>45089</v>
      </c>
    </row>
    <row r="15" spans="1:9" x14ac:dyDescent="0.25">
      <c r="A15" s="17" t="s">
        <v>22</v>
      </c>
      <c r="B15" s="17" t="s">
        <v>262</v>
      </c>
      <c r="C15" s="17" t="s">
        <v>254</v>
      </c>
      <c r="D15" s="17">
        <v>736</v>
      </c>
      <c r="E15" s="17">
        <v>7.99</v>
      </c>
      <c r="F15" s="17">
        <v>10</v>
      </c>
      <c r="G15" s="17">
        <v>3336</v>
      </c>
      <c r="H15" s="17" t="s">
        <v>263</v>
      </c>
      <c r="I15" s="22">
        <v>43994</v>
      </c>
    </row>
    <row r="16" spans="1:9" x14ac:dyDescent="0.25">
      <c r="A16" s="17" t="s">
        <v>12</v>
      </c>
      <c r="B16" s="17" t="s">
        <v>264</v>
      </c>
      <c r="C16" s="17" t="s">
        <v>265</v>
      </c>
      <c r="D16" s="17">
        <v>877</v>
      </c>
      <c r="E16" s="17">
        <v>20.95</v>
      </c>
      <c r="F16" s="17">
        <v>10</v>
      </c>
      <c r="G16" s="17">
        <v>375</v>
      </c>
      <c r="H16" s="17" t="s">
        <v>266</v>
      </c>
      <c r="I16" s="22">
        <v>44125</v>
      </c>
    </row>
    <row r="17" spans="1:9" x14ac:dyDescent="0.25">
      <c r="A17" s="17" t="s">
        <v>13</v>
      </c>
      <c r="B17" s="17" t="s">
        <v>267</v>
      </c>
      <c r="C17" s="17" t="s">
        <v>265</v>
      </c>
      <c r="D17" s="17">
        <v>877</v>
      </c>
      <c r="E17" s="17">
        <v>11.95</v>
      </c>
      <c r="F17" s="17">
        <v>14</v>
      </c>
      <c r="G17" s="17">
        <v>15096</v>
      </c>
      <c r="H17" s="17" t="s">
        <v>268</v>
      </c>
      <c r="I17" s="22">
        <v>44359</v>
      </c>
    </row>
    <row r="18" spans="1:9" x14ac:dyDescent="0.25">
      <c r="A18" s="17" t="s">
        <v>14</v>
      </c>
      <c r="B18" s="17" t="s">
        <v>269</v>
      </c>
      <c r="C18" s="17" t="s">
        <v>265</v>
      </c>
      <c r="D18" s="17">
        <v>877</v>
      </c>
      <c r="E18" s="17">
        <v>14.99</v>
      </c>
      <c r="F18" s="17">
        <v>10</v>
      </c>
      <c r="G18" s="17">
        <v>4095</v>
      </c>
      <c r="H18" s="17" t="s">
        <v>270</v>
      </c>
      <c r="I18" s="22">
        <v>44359</v>
      </c>
    </row>
    <row r="19" spans="1:9" x14ac:dyDescent="0.25">
      <c r="A19" s="21" t="s">
        <v>79</v>
      </c>
      <c r="B19" s="21"/>
      <c r="C19" s="21"/>
      <c r="D19" s="21"/>
      <c r="E19" s="21">
        <f>SUBTOTAL(101,Titles!$E$2:$E$18)</f>
        <v>15.426470588235293</v>
      </c>
      <c r="F19" s="21"/>
      <c r="G19" s="21">
        <f>SUBTOTAL(109,Titles!$G$2:$G$18)</f>
        <v>97705.9</v>
      </c>
      <c r="H19" s="21"/>
      <c r="I19" s="21">
        <f>SUBTOTAL(103,Titles!$I$2:$I$18)</f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FEDD-56AF-4C2A-B0AC-7DC09404CB8A}">
  <sheetPr codeName="Sheet5"/>
  <dimension ref="A1:B26"/>
  <sheetViews>
    <sheetView workbookViewId="0">
      <selection activeCell="B9" sqref="A1:B26"/>
    </sheetView>
  </sheetViews>
  <sheetFormatPr defaultRowHeight="15" x14ac:dyDescent="0.25"/>
  <cols>
    <col min="1" max="1" width="9.5703125" bestFit="1" customWidth="1"/>
    <col min="2" max="2" width="11.7109375" bestFit="1" customWidth="1"/>
  </cols>
  <sheetData>
    <row r="1" spans="1:2" x14ac:dyDescent="0.25">
      <c r="A1" s="21" t="s">
        <v>93</v>
      </c>
      <c r="B1" s="21" t="s">
        <v>95</v>
      </c>
    </row>
    <row r="2" spans="1:2" x14ac:dyDescent="0.25">
      <c r="A2" s="17" t="s">
        <v>21</v>
      </c>
      <c r="B2" s="17" t="s">
        <v>98</v>
      </c>
    </row>
    <row r="3" spans="1:2" x14ac:dyDescent="0.25">
      <c r="A3" s="17" t="s">
        <v>2</v>
      </c>
      <c r="B3" s="17" t="s">
        <v>104</v>
      </c>
    </row>
    <row r="4" spans="1:2" x14ac:dyDescent="0.25">
      <c r="A4" s="17" t="s">
        <v>28</v>
      </c>
      <c r="B4" s="17" t="s">
        <v>104</v>
      </c>
    </row>
    <row r="5" spans="1:2" x14ac:dyDescent="0.25">
      <c r="A5" s="17" t="s">
        <v>34</v>
      </c>
      <c r="B5" s="17" t="s">
        <v>110</v>
      </c>
    </row>
    <row r="6" spans="1:2" x14ac:dyDescent="0.25">
      <c r="A6" s="17" t="s">
        <v>32</v>
      </c>
      <c r="B6" s="17" t="s">
        <v>115</v>
      </c>
    </row>
    <row r="7" spans="1:2" x14ac:dyDescent="0.25">
      <c r="A7" s="17" t="s">
        <v>14</v>
      </c>
      <c r="B7" s="17" t="s">
        <v>115</v>
      </c>
    </row>
    <row r="8" spans="1:2" x14ac:dyDescent="0.25">
      <c r="A8" s="17" t="s">
        <v>24</v>
      </c>
      <c r="B8" s="17" t="s">
        <v>121</v>
      </c>
    </row>
    <row r="9" spans="1:2" x14ac:dyDescent="0.25">
      <c r="A9" s="17" t="s">
        <v>2</v>
      </c>
      <c r="B9" s="17" t="s">
        <v>133</v>
      </c>
    </row>
    <row r="10" spans="1:2" x14ac:dyDescent="0.25">
      <c r="A10" s="17" t="s">
        <v>7</v>
      </c>
      <c r="B10" s="17" t="s">
        <v>137</v>
      </c>
    </row>
    <row r="11" spans="1:2" x14ac:dyDescent="0.25">
      <c r="A11" s="17" t="s">
        <v>14</v>
      </c>
      <c r="B11" s="17" t="s">
        <v>143</v>
      </c>
    </row>
    <row r="12" spans="1:2" x14ac:dyDescent="0.25">
      <c r="A12" s="17" t="s">
        <v>226</v>
      </c>
      <c r="B12" s="17" t="s">
        <v>149</v>
      </c>
    </row>
    <row r="13" spans="1:2" x14ac:dyDescent="0.25">
      <c r="A13" s="17" t="s">
        <v>22</v>
      </c>
      <c r="B13" s="17" t="s">
        <v>149</v>
      </c>
    </row>
    <row r="14" spans="1:2" x14ac:dyDescent="0.25">
      <c r="A14" s="17" t="s">
        <v>13</v>
      </c>
      <c r="B14" s="17" t="s">
        <v>162</v>
      </c>
    </row>
    <row r="15" spans="1:2" x14ac:dyDescent="0.25">
      <c r="A15" s="17" t="s">
        <v>14</v>
      </c>
      <c r="B15" s="17" t="s">
        <v>168</v>
      </c>
    </row>
    <row r="16" spans="1:2" x14ac:dyDescent="0.25">
      <c r="A16" s="17" t="s">
        <v>26</v>
      </c>
      <c r="B16" s="17" t="s">
        <v>174</v>
      </c>
    </row>
    <row r="17" spans="1:2" x14ac:dyDescent="0.25">
      <c r="A17" s="17" t="s">
        <v>17</v>
      </c>
      <c r="B17" s="17" t="s">
        <v>181</v>
      </c>
    </row>
    <row r="18" spans="1:2" x14ac:dyDescent="0.25">
      <c r="A18" s="17" t="s">
        <v>32</v>
      </c>
      <c r="B18" s="17" t="s">
        <v>192</v>
      </c>
    </row>
    <row r="19" spans="1:2" x14ac:dyDescent="0.25">
      <c r="A19" s="17" t="s">
        <v>19</v>
      </c>
      <c r="B19" s="17" t="s">
        <v>192</v>
      </c>
    </row>
    <row r="20" spans="1:2" x14ac:dyDescent="0.25">
      <c r="A20" s="17" t="s">
        <v>19</v>
      </c>
      <c r="B20" s="17" t="s">
        <v>197</v>
      </c>
    </row>
    <row r="21" spans="1:2" x14ac:dyDescent="0.25">
      <c r="A21" s="17" t="s">
        <v>12</v>
      </c>
      <c r="B21" s="17" t="s">
        <v>201</v>
      </c>
    </row>
    <row r="22" spans="1:2" x14ac:dyDescent="0.25">
      <c r="A22" s="17" t="s">
        <v>7</v>
      </c>
      <c r="B22" s="17" t="s">
        <v>208</v>
      </c>
    </row>
    <row r="23" spans="1:2" x14ac:dyDescent="0.25">
      <c r="A23" s="17" t="s">
        <v>17</v>
      </c>
      <c r="B23" s="17" t="s">
        <v>217</v>
      </c>
    </row>
    <row r="24" spans="1:2" x14ac:dyDescent="0.25">
      <c r="A24" s="17" t="s">
        <v>4</v>
      </c>
      <c r="B24" s="17" t="s">
        <v>217</v>
      </c>
    </row>
    <row r="25" spans="1:2" x14ac:dyDescent="0.25">
      <c r="A25" s="17" t="s">
        <v>4</v>
      </c>
      <c r="B25" s="17" t="s">
        <v>224</v>
      </c>
    </row>
    <row r="26" spans="1:2" x14ac:dyDescent="0.25">
      <c r="A26" s="17" t="s">
        <v>20</v>
      </c>
      <c r="B26" s="17" t="s">
        <v>224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815D8-D290-42F4-844E-9C32FEF34433}">
  <sheetPr codeName="Sheet6"/>
  <dimension ref="A1:N24"/>
  <sheetViews>
    <sheetView workbookViewId="0">
      <selection activeCell="L1" sqref="L1:O1048576"/>
    </sheetView>
  </sheetViews>
  <sheetFormatPr defaultRowHeight="15" x14ac:dyDescent="0.25"/>
  <cols>
    <col min="1" max="1" width="11.7109375" bestFit="1" customWidth="1"/>
    <col min="2" max="2" width="13.5703125" hidden="1" customWidth="1"/>
    <col min="3" max="3" width="12.85546875" hidden="1" customWidth="1"/>
    <col min="4" max="4" width="12.85546875" customWidth="1"/>
    <col min="5" max="5" width="19.85546875" bestFit="1" customWidth="1"/>
    <col min="6" max="6" width="13.140625" bestFit="1" customWidth="1"/>
    <col min="7" max="7" width="7.85546875" bestFit="1" customWidth="1"/>
    <col min="8" max="8" width="13.7109375" bestFit="1" customWidth="1"/>
    <col min="13" max="13" width="12" customWidth="1"/>
    <col min="14" max="14" width="13.28515625" customWidth="1"/>
  </cols>
  <sheetData>
    <row r="1" spans="1:14" ht="31.5" customHeight="1" x14ac:dyDescent="0.25">
      <c r="A1" s="21" t="s">
        <v>95</v>
      </c>
      <c r="B1" s="21" t="s">
        <v>96</v>
      </c>
      <c r="C1" s="21" t="s">
        <v>97</v>
      </c>
      <c r="D1" s="21" t="s">
        <v>282</v>
      </c>
      <c r="E1" s="21" t="s">
        <v>82</v>
      </c>
      <c r="F1" s="21" t="s">
        <v>83</v>
      </c>
      <c r="G1" s="21" t="s">
        <v>84</v>
      </c>
      <c r="H1" s="21" t="s">
        <v>85</v>
      </c>
      <c r="L1" s="11" t="s">
        <v>273</v>
      </c>
      <c r="M1" s="12" t="s">
        <v>274</v>
      </c>
      <c r="N1" s="13" t="s">
        <v>275</v>
      </c>
    </row>
    <row r="2" spans="1:14" x14ac:dyDescent="0.25">
      <c r="A2" s="17" t="s">
        <v>98</v>
      </c>
      <c r="B2" s="17" t="s">
        <v>99</v>
      </c>
      <c r="C2" s="17" t="s">
        <v>100</v>
      </c>
      <c r="D2" s="17" t="str">
        <f>_xlfn.CONCAT(Authors!$C2," ",Authors!$B2)</f>
        <v>Johnson White</v>
      </c>
      <c r="E2" s="17" t="s">
        <v>101</v>
      </c>
      <c r="F2" s="17" t="s">
        <v>102</v>
      </c>
      <c r="G2" s="17" t="s">
        <v>42</v>
      </c>
      <c r="H2" s="17" t="s">
        <v>103</v>
      </c>
      <c r="L2" s="6" t="s">
        <v>78</v>
      </c>
      <c r="N2" s="7"/>
    </row>
    <row r="3" spans="1:14" x14ac:dyDescent="0.25">
      <c r="A3" s="17" t="s">
        <v>104</v>
      </c>
      <c r="B3" s="17" t="s">
        <v>105</v>
      </c>
      <c r="C3" s="17" t="s">
        <v>106</v>
      </c>
      <c r="D3" s="17" t="str">
        <f>_xlfn.CONCAT(Authors!$C3," ",Authors!$B3)</f>
        <v>Marjorie Green</v>
      </c>
      <c r="E3" s="17" t="s">
        <v>107</v>
      </c>
      <c r="F3" s="17" t="s">
        <v>108</v>
      </c>
      <c r="G3" s="17" t="s">
        <v>42</v>
      </c>
      <c r="H3" s="17" t="s">
        <v>109</v>
      </c>
      <c r="L3" s="6" t="s">
        <v>72</v>
      </c>
      <c r="N3" s="7"/>
    </row>
    <row r="4" spans="1:14" x14ac:dyDescent="0.25">
      <c r="A4" s="17" t="s">
        <v>110</v>
      </c>
      <c r="B4" s="17" t="s">
        <v>111</v>
      </c>
      <c r="C4" s="17" t="s">
        <v>112</v>
      </c>
      <c r="D4" s="17" t="str">
        <f>_xlfn.CONCAT(Authors!$C4," ",Authors!$B4)</f>
        <v>Cheryl Carson</v>
      </c>
      <c r="E4" s="17" t="s">
        <v>113</v>
      </c>
      <c r="F4" s="17" t="s">
        <v>58</v>
      </c>
      <c r="G4" s="17" t="s">
        <v>59</v>
      </c>
      <c r="H4" s="17">
        <v>2108</v>
      </c>
      <c r="L4" s="8" t="s">
        <v>60</v>
      </c>
      <c r="M4" s="9"/>
      <c r="N4" s="10"/>
    </row>
    <row r="5" spans="1:14" x14ac:dyDescent="0.25">
      <c r="A5" s="17" t="s">
        <v>115</v>
      </c>
      <c r="B5" s="17" t="s">
        <v>116</v>
      </c>
      <c r="C5" s="17" t="s">
        <v>117</v>
      </c>
      <c r="D5" s="17" t="str">
        <f>_xlfn.CONCAT(Authors!$C5," ",Authors!$B5)</f>
        <v>Michael O'Leary</v>
      </c>
      <c r="E5" s="17" t="s">
        <v>118</v>
      </c>
      <c r="F5" s="17" t="s">
        <v>119</v>
      </c>
      <c r="G5" s="17" t="s">
        <v>42</v>
      </c>
      <c r="H5" s="17" t="s">
        <v>120</v>
      </c>
    </row>
    <row r="6" spans="1:14" x14ac:dyDescent="0.25">
      <c r="A6" s="17" t="s">
        <v>121</v>
      </c>
      <c r="B6" s="17" t="s">
        <v>122</v>
      </c>
      <c r="C6" s="17" t="s">
        <v>123</v>
      </c>
      <c r="D6" s="17" t="str">
        <f>_xlfn.CONCAT(Authors!$C6," ",Authors!$B6)</f>
        <v>Dean Straight</v>
      </c>
      <c r="E6" s="17" t="s">
        <v>124</v>
      </c>
      <c r="F6" s="17" t="s">
        <v>108</v>
      </c>
      <c r="G6" s="17" t="s">
        <v>42</v>
      </c>
      <c r="H6" s="17" t="s">
        <v>125</v>
      </c>
    </row>
    <row r="7" spans="1:14" x14ac:dyDescent="0.25">
      <c r="A7" s="17" t="s">
        <v>126</v>
      </c>
      <c r="B7" s="17" t="s">
        <v>127</v>
      </c>
      <c r="C7" s="17" t="s">
        <v>128</v>
      </c>
      <c r="D7" s="17" t="str">
        <f>_xlfn.CONCAT(Authors!$C7," ",Authors!$B7)</f>
        <v>Meander Smith</v>
      </c>
      <c r="E7" s="17" t="s">
        <v>129</v>
      </c>
      <c r="F7" s="17" t="s">
        <v>130</v>
      </c>
      <c r="G7" s="17" t="s">
        <v>131</v>
      </c>
      <c r="H7" s="17" t="s">
        <v>132</v>
      </c>
    </row>
    <row r="8" spans="1:14" x14ac:dyDescent="0.25">
      <c r="A8" s="17" t="s">
        <v>133</v>
      </c>
      <c r="B8" s="17" t="s">
        <v>134</v>
      </c>
      <c r="C8" s="17" t="s">
        <v>135</v>
      </c>
      <c r="D8" s="17" t="str">
        <f>_xlfn.CONCAT(Authors!$C8," ",Authors!$B8)</f>
        <v>Abraham Bennet</v>
      </c>
      <c r="E8" s="17" t="s">
        <v>136</v>
      </c>
      <c r="F8" s="17" t="s">
        <v>56</v>
      </c>
      <c r="G8" s="17" t="s">
        <v>42</v>
      </c>
      <c r="H8" s="17" t="s">
        <v>114</v>
      </c>
    </row>
    <row r="9" spans="1:14" x14ac:dyDescent="0.25">
      <c r="A9" s="17" t="s">
        <v>137</v>
      </c>
      <c r="B9" s="17" t="s">
        <v>138</v>
      </c>
      <c r="C9" s="17" t="s">
        <v>139</v>
      </c>
      <c r="D9" s="17" t="str">
        <f>_xlfn.CONCAT(Authors!$C9," ",Authors!$B9)</f>
        <v>Ann Dull</v>
      </c>
      <c r="E9" s="17" t="s">
        <v>140</v>
      </c>
      <c r="F9" s="17" t="s">
        <v>276</v>
      </c>
      <c r="G9" s="17" t="s">
        <v>277</v>
      </c>
      <c r="H9" s="17">
        <v>1301</v>
      </c>
    </row>
    <row r="10" spans="1:14" x14ac:dyDescent="0.25">
      <c r="A10" s="17" t="s">
        <v>143</v>
      </c>
      <c r="B10" s="17" t="s">
        <v>144</v>
      </c>
      <c r="C10" s="17" t="s">
        <v>145</v>
      </c>
      <c r="D10" s="17" t="str">
        <f>_xlfn.CONCAT(Authors!$C10," ",Authors!$B10)</f>
        <v>Burt Gringlesby</v>
      </c>
      <c r="E10" s="17" t="s">
        <v>146</v>
      </c>
      <c r="F10" s="17" t="s">
        <v>147</v>
      </c>
      <c r="G10" s="17" t="s">
        <v>42</v>
      </c>
      <c r="H10" s="17" t="s">
        <v>148</v>
      </c>
    </row>
    <row r="11" spans="1:14" x14ac:dyDescent="0.25">
      <c r="A11" s="17" t="s">
        <v>149</v>
      </c>
      <c r="B11" s="17" t="s">
        <v>150</v>
      </c>
      <c r="C11" s="17" t="s">
        <v>151</v>
      </c>
      <c r="D11" s="17" t="str">
        <f>_xlfn.CONCAT(Authors!$C11," ",Authors!$B11)</f>
        <v>Charlene Locksley</v>
      </c>
      <c r="E11" s="17" t="s">
        <v>152</v>
      </c>
      <c r="F11" s="17" t="s">
        <v>153</v>
      </c>
      <c r="G11" s="17" t="s">
        <v>42</v>
      </c>
      <c r="H11" s="17" t="s">
        <v>154</v>
      </c>
    </row>
    <row r="12" spans="1:14" x14ac:dyDescent="0.25">
      <c r="A12" s="17" t="s">
        <v>155</v>
      </c>
      <c r="B12" s="17" t="s">
        <v>156</v>
      </c>
      <c r="C12" s="17" t="s">
        <v>157</v>
      </c>
      <c r="D12" s="17" t="str">
        <f>_xlfn.CONCAT(Authors!$C12," ",Authors!$B12)</f>
        <v>Morningstar Greene</v>
      </c>
      <c r="E12" s="17" t="s">
        <v>158</v>
      </c>
      <c r="F12" s="17" t="s">
        <v>159</v>
      </c>
      <c r="G12" s="17" t="s">
        <v>160</v>
      </c>
      <c r="H12" s="17" t="s">
        <v>161</v>
      </c>
    </row>
    <row r="13" spans="1:14" x14ac:dyDescent="0.25">
      <c r="A13" s="17" t="s">
        <v>162</v>
      </c>
      <c r="B13" s="17" t="s">
        <v>163</v>
      </c>
      <c r="C13" s="17" t="s">
        <v>164</v>
      </c>
      <c r="D13" s="17" t="str">
        <f>_xlfn.CONCAT(Authors!$C13," ",Authors!$B13)</f>
        <v>Reginald Blotchet-Halls</v>
      </c>
      <c r="E13" s="17" t="s">
        <v>165</v>
      </c>
      <c r="F13" s="17" t="s">
        <v>166</v>
      </c>
      <c r="G13" s="17" t="s">
        <v>55</v>
      </c>
      <c r="H13" s="17" t="s">
        <v>167</v>
      </c>
    </row>
    <row r="14" spans="1:14" x14ac:dyDescent="0.25">
      <c r="A14" s="17" t="s">
        <v>168</v>
      </c>
      <c r="B14" s="17" t="s">
        <v>169</v>
      </c>
      <c r="C14" s="17" t="s">
        <v>170</v>
      </c>
      <c r="D14" s="17" t="str">
        <f>_xlfn.CONCAT(Authors!$C14," ",Authors!$B14)</f>
        <v>Akiko Yokomoto</v>
      </c>
      <c r="E14" s="17" t="s">
        <v>171</v>
      </c>
      <c r="F14" s="17" t="s">
        <v>172</v>
      </c>
      <c r="G14" s="17" t="s">
        <v>42</v>
      </c>
      <c r="H14" s="17" t="s">
        <v>173</v>
      </c>
    </row>
    <row r="15" spans="1:14" x14ac:dyDescent="0.25">
      <c r="A15" s="17" t="s">
        <v>174</v>
      </c>
      <c r="B15" s="17" t="s">
        <v>175</v>
      </c>
      <c r="C15" s="17" t="s">
        <v>176</v>
      </c>
      <c r="D15" s="17" t="str">
        <f>_xlfn.CONCAT(Authors!$C15," ",Authors!$B15)</f>
        <v>Innes del Castillo</v>
      </c>
      <c r="E15" s="17" t="s">
        <v>177</v>
      </c>
      <c r="F15" s="17" t="s">
        <v>178</v>
      </c>
      <c r="G15" s="17" t="s">
        <v>179</v>
      </c>
      <c r="H15" s="17" t="s">
        <v>180</v>
      </c>
    </row>
    <row r="16" spans="1:14" x14ac:dyDescent="0.25">
      <c r="A16" s="17" t="s">
        <v>181</v>
      </c>
      <c r="B16" s="17" t="s">
        <v>182</v>
      </c>
      <c r="C16" s="17" t="s">
        <v>183</v>
      </c>
      <c r="D16" s="17" t="str">
        <f>_xlfn.CONCAT(Authors!$C16," ",Authors!$B16)</f>
        <v>Michel DeFrance</v>
      </c>
      <c r="E16" s="17" t="s">
        <v>184</v>
      </c>
      <c r="F16" s="17" t="s">
        <v>185</v>
      </c>
      <c r="G16" s="17" t="s">
        <v>186</v>
      </c>
      <c r="H16" s="17" t="s">
        <v>187</v>
      </c>
    </row>
    <row r="17" spans="1:8" x14ac:dyDescent="0.25">
      <c r="A17" s="17" t="s">
        <v>188</v>
      </c>
      <c r="B17" s="17" t="s">
        <v>189</v>
      </c>
      <c r="C17" s="17" t="s">
        <v>190</v>
      </c>
      <c r="D17" s="17" t="str">
        <f>_xlfn.CONCAT(Authors!$C17," ",Authors!$B17)</f>
        <v>Dirk Stringer</v>
      </c>
      <c r="E17" s="17" t="s">
        <v>191</v>
      </c>
      <c r="F17" s="17" t="s">
        <v>108</v>
      </c>
      <c r="G17" s="17" t="s">
        <v>42</v>
      </c>
      <c r="H17" s="17" t="s">
        <v>125</v>
      </c>
    </row>
    <row r="18" spans="1:8" x14ac:dyDescent="0.25">
      <c r="A18" s="17" t="s">
        <v>192</v>
      </c>
      <c r="B18" s="17" t="s">
        <v>193</v>
      </c>
      <c r="C18" s="17" t="s">
        <v>194</v>
      </c>
      <c r="D18" s="17" t="str">
        <f>_xlfn.CONCAT(Authors!$C18," ",Authors!$B18)</f>
        <v>Stearns MacFeather</v>
      </c>
      <c r="E18" s="17" t="s">
        <v>195</v>
      </c>
      <c r="F18" s="17" t="s">
        <v>108</v>
      </c>
      <c r="G18" s="17" t="s">
        <v>42</v>
      </c>
      <c r="H18" s="17" t="s">
        <v>196</v>
      </c>
    </row>
    <row r="19" spans="1:8" x14ac:dyDescent="0.25">
      <c r="A19" s="17" t="s">
        <v>197</v>
      </c>
      <c r="B19" s="17" t="s">
        <v>198</v>
      </c>
      <c r="C19" s="17" t="s">
        <v>199</v>
      </c>
      <c r="D19" s="17" t="str">
        <f>_xlfn.CONCAT(Authors!$C19," ",Authors!$B19)</f>
        <v>Livia Karsen</v>
      </c>
      <c r="E19" s="17" t="s">
        <v>200</v>
      </c>
      <c r="F19" s="17" t="s">
        <v>278</v>
      </c>
      <c r="G19" s="17" t="s">
        <v>279</v>
      </c>
      <c r="H19" s="17">
        <v>6101</v>
      </c>
    </row>
    <row r="20" spans="1:8" x14ac:dyDescent="0.25">
      <c r="A20" s="17" t="s">
        <v>201</v>
      </c>
      <c r="B20" s="17" t="s">
        <v>202</v>
      </c>
      <c r="C20" s="17" t="s">
        <v>203</v>
      </c>
      <c r="D20" s="17" t="str">
        <f>_xlfn.CONCAT(Authors!$C20," ",Authors!$B20)</f>
        <v>Sylvia Panteley</v>
      </c>
      <c r="E20" s="17" t="s">
        <v>204</v>
      </c>
      <c r="F20" s="17" t="s">
        <v>205</v>
      </c>
      <c r="G20" s="17" t="s">
        <v>206</v>
      </c>
      <c r="H20" s="17" t="s">
        <v>207</v>
      </c>
    </row>
    <row r="21" spans="1:8" x14ac:dyDescent="0.25">
      <c r="A21" s="17" t="s">
        <v>208</v>
      </c>
      <c r="B21" s="17" t="s">
        <v>209</v>
      </c>
      <c r="C21" s="17" t="s">
        <v>210</v>
      </c>
      <c r="D21" s="17" t="str">
        <f>_xlfn.CONCAT(Authors!$C21," ",Authors!$B21)</f>
        <v>Sheryl Hunter</v>
      </c>
      <c r="E21" s="17" t="s">
        <v>140</v>
      </c>
      <c r="F21" s="17" t="s">
        <v>141</v>
      </c>
      <c r="G21" s="17" t="s">
        <v>42</v>
      </c>
      <c r="H21" s="17" t="s">
        <v>142</v>
      </c>
    </row>
    <row r="22" spans="1:8" x14ac:dyDescent="0.25">
      <c r="A22" s="17" t="s">
        <v>211</v>
      </c>
      <c r="B22" s="17" t="s">
        <v>212</v>
      </c>
      <c r="C22" s="17" t="s">
        <v>213</v>
      </c>
      <c r="D22" s="17" t="str">
        <f>_xlfn.CONCAT(Authors!$C22," ",Authors!$B22)</f>
        <v>Heather McBadden</v>
      </c>
      <c r="E22" s="17" t="s">
        <v>214</v>
      </c>
      <c r="F22" s="17" t="s">
        <v>215</v>
      </c>
      <c r="G22" s="17" t="s">
        <v>42</v>
      </c>
      <c r="H22" s="17" t="s">
        <v>216</v>
      </c>
    </row>
    <row r="23" spans="1:8" x14ac:dyDescent="0.25">
      <c r="A23" s="17" t="s">
        <v>217</v>
      </c>
      <c r="B23" s="17" t="s">
        <v>218</v>
      </c>
      <c r="C23" s="17" t="s">
        <v>219</v>
      </c>
      <c r="D23" s="17" t="str">
        <f>_xlfn.CONCAT(Authors!$C23," ",Authors!$B23)</f>
        <v>Anne Ringer</v>
      </c>
      <c r="E23" s="17" t="s">
        <v>220</v>
      </c>
      <c r="F23" s="17" t="s">
        <v>221</v>
      </c>
      <c r="G23" s="17" t="s">
        <v>222</v>
      </c>
      <c r="H23" s="17" t="s">
        <v>223</v>
      </c>
    </row>
    <row r="24" spans="1:8" x14ac:dyDescent="0.25">
      <c r="A24" s="17" t="s">
        <v>224</v>
      </c>
      <c r="B24" s="17" t="s">
        <v>218</v>
      </c>
      <c r="C24" s="17" t="s">
        <v>225</v>
      </c>
      <c r="D24" s="17" t="str">
        <f>_xlfn.CONCAT(Authors!$C24," ",Authors!$B24)</f>
        <v>Albert Ringer</v>
      </c>
      <c r="E24" s="17" t="s">
        <v>220</v>
      </c>
      <c r="F24" s="17" t="s">
        <v>221</v>
      </c>
      <c r="G24" s="17" t="s">
        <v>222</v>
      </c>
      <c r="H24" s="17" t="s">
        <v>223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980AE-2883-4C78-8E61-1155769E752D}">
  <sheetPr codeName="Sheet3"/>
  <dimension ref="A1:L22"/>
  <sheetViews>
    <sheetView topLeftCell="I1" workbookViewId="0">
      <selection activeCell="I3" sqref="A1:L22"/>
    </sheetView>
  </sheetViews>
  <sheetFormatPr defaultRowHeight="15" x14ac:dyDescent="0.25"/>
  <cols>
    <col min="1" max="1" width="10.140625" style="2" customWidth="1"/>
    <col min="2" max="2" width="13.5703125" style="2" customWidth="1"/>
    <col min="3" max="3" width="16" style="2" customWidth="1"/>
    <col min="4" max="4" width="14.85546875" style="2" bestFit="1" customWidth="1"/>
    <col min="5" max="5" width="13.140625" style="2" customWidth="1"/>
    <col min="6" max="7" width="13.140625" style="3" customWidth="1"/>
    <col min="8" max="9" width="16.85546875" style="2" customWidth="1"/>
    <col min="10" max="10" width="9.5703125" style="2" bestFit="1" customWidth="1"/>
    <col min="11" max="11" width="61.7109375" style="2" bestFit="1" customWidth="1"/>
    <col min="12" max="12" width="9.28515625" style="2" customWidth="1"/>
    <col min="13" max="16384" width="9.140625" style="2"/>
  </cols>
  <sheetData>
    <row r="1" spans="1:12" s="1" customFormat="1" x14ac:dyDescent="0.25">
      <c r="A1" s="14" t="s">
        <v>80</v>
      </c>
      <c r="B1" s="14" t="s">
        <v>81</v>
      </c>
      <c r="C1" s="14" t="s">
        <v>89</v>
      </c>
      <c r="D1" s="14" t="s">
        <v>90</v>
      </c>
      <c r="E1" s="14" t="s">
        <v>91</v>
      </c>
      <c r="F1" s="15" t="s">
        <v>94</v>
      </c>
      <c r="G1" s="15" t="s">
        <v>79</v>
      </c>
      <c r="H1" s="14" t="s">
        <v>92</v>
      </c>
      <c r="I1" s="14" t="s">
        <v>280</v>
      </c>
      <c r="J1" s="14" t="s">
        <v>93</v>
      </c>
      <c r="K1" s="16" t="s">
        <v>271</v>
      </c>
      <c r="L1" s="16" t="s">
        <v>281</v>
      </c>
    </row>
    <row r="2" spans="1:12" x14ac:dyDescent="0.25">
      <c r="A2" s="17">
        <v>6380</v>
      </c>
      <c r="B2" s="17" t="str">
        <f>VLOOKUP(Sales!$A2,Stores!$A$2:$F$7,2,FALSE)</f>
        <v>Eric the Read Books</v>
      </c>
      <c r="C2" s="17" t="s">
        <v>0</v>
      </c>
      <c r="D2" s="18">
        <v>44999</v>
      </c>
      <c r="E2" s="17">
        <v>5</v>
      </c>
      <c r="F2" s="19">
        <v>19.989999999999998</v>
      </c>
      <c r="G2" s="19">
        <f>F2*E2</f>
        <v>99.949999999999989</v>
      </c>
      <c r="H2" s="17" t="s">
        <v>1</v>
      </c>
      <c r="I2" s="17" cm="1">
        <f t="array" ref="I2">_xlfn.SWITCH(Sales!$H2,"Net 30",Sales!$D2+30,"Net 60", Sales!$D2+60, "ON Invoice",Sales!$D2)</f>
        <v>45059</v>
      </c>
      <c r="J2" s="17" t="s">
        <v>2</v>
      </c>
      <c r="K2" s="20" t="str">
        <f>VLOOKUP(Sales!$J2,Titles!$A$2:$I$18,2,FALSE)</f>
        <v>The Busy Executive's Database Guide</v>
      </c>
      <c r="L2" s="20" t="str">
        <f>VLOOKUP(VLOOKUP(Sales!$J2, TitleAuthors!$A$2:$B$26,2,FALSE),Authors!$A$2:$H$24, 4,FALSE)</f>
        <v>Marjorie Green</v>
      </c>
    </row>
    <row r="3" spans="1:12" x14ac:dyDescent="0.25">
      <c r="A3" s="17">
        <v>8042</v>
      </c>
      <c r="B3" s="17" t="str">
        <f>VLOOKUP(Sales!$A3,Stores!$A$2:$F$7,2,FALSE)</f>
        <v>Bookbeat</v>
      </c>
      <c r="C3" s="17" t="s">
        <v>30</v>
      </c>
      <c r="D3" s="18">
        <v>44820</v>
      </c>
      <c r="E3" s="17">
        <v>10</v>
      </c>
      <c r="F3" s="19">
        <v>19.989999999999998</v>
      </c>
      <c r="G3" s="19">
        <f t="shared" ref="G3:G22" si="0">F3*E3</f>
        <v>199.89999999999998</v>
      </c>
      <c r="H3" s="17" t="s">
        <v>9</v>
      </c>
      <c r="I3" s="17" cm="1">
        <f t="array" ref="I3">_xlfn.SWITCH(Sales!$H3,"Net 30",Sales!$D3+30,"Net 60", Sales!$D3+60, "ON Invoice",Sales!$D3)</f>
        <v>44820</v>
      </c>
      <c r="J3" s="17" t="s">
        <v>2</v>
      </c>
      <c r="K3" s="20" t="str">
        <f>VLOOKUP(Sales!$J3,Titles!$A$2:$I$18,2,FALSE)</f>
        <v>The Busy Executive's Database Guide</v>
      </c>
      <c r="L3" s="20" t="str">
        <f>VLOOKUP(VLOOKUP(Sales!$J3, TitleAuthors!$A$2:$B$26,2,FALSE),Authors!$A$2:$H$24, 4,FALSE)</f>
        <v>Marjorie Green</v>
      </c>
    </row>
    <row r="4" spans="1:12" x14ac:dyDescent="0.25">
      <c r="A4" s="17">
        <v>8042</v>
      </c>
      <c r="B4" s="17" t="str">
        <f>VLOOKUP(Sales!$A4,Stores!$A$2:$F$7,2,FALSE)</f>
        <v>Bookbeat</v>
      </c>
      <c r="C4" s="17" t="s">
        <v>31</v>
      </c>
      <c r="D4" s="18">
        <v>44631</v>
      </c>
      <c r="E4" s="17">
        <v>25</v>
      </c>
      <c r="F4" s="19">
        <v>11.95</v>
      </c>
      <c r="G4" s="19">
        <f t="shared" si="0"/>
        <v>298.75</v>
      </c>
      <c r="H4" s="17" t="s">
        <v>6</v>
      </c>
      <c r="I4" s="17" cm="1">
        <f t="array" ref="I4">_xlfn.SWITCH(Sales!$H4,"Net 30",Sales!$D4+30,"Net 60", Sales!$D4+60, "ON Invoice",Sales!$D4)</f>
        <v>44661</v>
      </c>
      <c r="J4" s="17" t="s">
        <v>32</v>
      </c>
      <c r="K4" s="20" t="str">
        <f>VLOOKUP(Sales!$J4,Titles!$A$2:$I$18,2,FALSE)</f>
        <v>Cooking with Computers: Surreptitious Balance Sheets</v>
      </c>
      <c r="L4" s="20" t="str">
        <f>VLOOKUP(VLOOKUP(Sales!$J4, TitleAuthors!$A$2:$B$26,2,FALSE),Authors!$A$2:$H$24, 4,FALSE)</f>
        <v>Michael O'Leary</v>
      </c>
    </row>
    <row r="5" spans="1:12" x14ac:dyDescent="0.25">
      <c r="A5" s="17">
        <v>7896</v>
      </c>
      <c r="B5" s="17" t="str">
        <f>VLOOKUP(Sales!$A5,Stores!$A$2:$F$7,2,FALSE)</f>
        <v>Fricative Bookshop</v>
      </c>
      <c r="C5" s="17" t="s">
        <v>27</v>
      </c>
      <c r="D5" s="18">
        <v>44613</v>
      </c>
      <c r="E5" s="17">
        <v>35</v>
      </c>
      <c r="F5" s="19">
        <v>2.99</v>
      </c>
      <c r="G5" s="19">
        <f t="shared" si="0"/>
        <v>104.65</v>
      </c>
      <c r="H5" s="17" t="s">
        <v>9</v>
      </c>
      <c r="I5" s="17" cm="1">
        <f t="array" ref="I5">_xlfn.SWITCH(Sales!$H5,"Net 30",Sales!$D5+30,"Net 60", Sales!$D5+60, "ON Invoice",Sales!$D5)</f>
        <v>44613</v>
      </c>
      <c r="J5" s="17" t="s">
        <v>28</v>
      </c>
      <c r="K5" s="20" t="str">
        <f>VLOOKUP(Sales!$J5,Titles!$A$2:$I$18,2,FALSE)</f>
        <v>You Can Combat Computer Stress!</v>
      </c>
      <c r="L5" s="20" t="str">
        <f>VLOOKUP(VLOOKUP(Sales!$J5, TitleAuthors!$A$2:$B$26,2,FALSE),Authors!$A$2:$H$24, 4,FALSE)</f>
        <v>Marjorie Green</v>
      </c>
    </row>
    <row r="6" spans="1:12" x14ac:dyDescent="0.25">
      <c r="A6" s="17">
        <v>7896</v>
      </c>
      <c r="B6" s="17" t="str">
        <f>VLOOKUP(Sales!$A6,Stores!$A$2:$F$7,2,FALSE)</f>
        <v>Fricative Bookshop</v>
      </c>
      <c r="C6" s="17" t="s">
        <v>23</v>
      </c>
      <c r="D6" s="18">
        <v>44862</v>
      </c>
      <c r="E6" s="17">
        <v>15</v>
      </c>
      <c r="F6" s="19">
        <v>19.989999999999998</v>
      </c>
      <c r="G6" s="19">
        <f t="shared" si="0"/>
        <v>299.84999999999997</v>
      </c>
      <c r="H6" s="17" t="s">
        <v>1</v>
      </c>
      <c r="I6" s="17" cm="1">
        <f t="array" ref="I6">_xlfn.SWITCH(Sales!$H6,"Net 30",Sales!$D6+30,"Net 60", Sales!$D6+60, "ON Invoice",Sales!$D6)</f>
        <v>44922</v>
      </c>
      <c r="J6" s="17" t="s">
        <v>24</v>
      </c>
      <c r="K6" s="20" t="str">
        <f>VLOOKUP(Sales!$J6,Titles!$A$2:$I$18,2,FALSE)</f>
        <v>Straight Talk About Computers</v>
      </c>
      <c r="L6" s="20" t="str">
        <f>VLOOKUP(VLOOKUP(Sales!$J6, TitleAuthors!$A$2:$B$26,2,FALSE),Authors!$A$2:$H$24, 4,FALSE)</f>
        <v>Dean Straight</v>
      </c>
    </row>
    <row r="7" spans="1:12" x14ac:dyDescent="0.25">
      <c r="A7" s="17">
        <v>7896</v>
      </c>
      <c r="B7" s="17" t="str">
        <f>VLOOKUP(Sales!$A7,Stores!$A$2:$F$7,2,FALSE)</f>
        <v>Fricative Bookshop</v>
      </c>
      <c r="C7" s="17" t="s">
        <v>25</v>
      </c>
      <c r="D7" s="18">
        <v>44907</v>
      </c>
      <c r="E7" s="17">
        <v>10</v>
      </c>
      <c r="F7" s="19">
        <v>19.989999999999998</v>
      </c>
      <c r="G7" s="19">
        <f t="shared" si="0"/>
        <v>199.89999999999998</v>
      </c>
      <c r="H7" s="17" t="s">
        <v>1</v>
      </c>
      <c r="I7" s="17" cm="1">
        <f t="array" ref="I7">_xlfn.SWITCH(Sales!$H7,"Net 30",Sales!$D7+30,"Net 60", Sales!$D7+60, "ON Invoice",Sales!$D7)</f>
        <v>44967</v>
      </c>
      <c r="J7" s="17" t="s">
        <v>26</v>
      </c>
      <c r="K7" s="20" t="str">
        <f>VLOOKUP(Sales!$J7,Titles!$A$2:$I$18,2,FALSE)</f>
        <v>Silicon Valley Gastronomic Treats</v>
      </c>
      <c r="L7" s="20" t="str">
        <f>VLOOKUP(VLOOKUP(Sales!$J7, TitleAuthors!$A$2:$B$26,2,FALSE),Authors!$A$2:$H$24, 4,FALSE)</f>
        <v>Innes del Castillo</v>
      </c>
    </row>
    <row r="8" spans="1:12" x14ac:dyDescent="0.25">
      <c r="A8" s="17">
        <v>7131</v>
      </c>
      <c r="B8" s="17" t="str">
        <f>VLOOKUP(Sales!$A8,Stores!$A$2:$F$7,2,FALSE)</f>
        <v>Doc-U-Mat: Quality Laundry and Books</v>
      </c>
      <c r="C8" s="17" t="s">
        <v>16</v>
      </c>
      <c r="D8" s="18">
        <v>45145</v>
      </c>
      <c r="E8" s="17">
        <v>25</v>
      </c>
      <c r="F8" s="19">
        <v>2.99</v>
      </c>
      <c r="G8" s="19">
        <f t="shared" si="0"/>
        <v>74.75</v>
      </c>
      <c r="H8" s="17" t="s">
        <v>6</v>
      </c>
      <c r="I8" s="17" cm="1">
        <f t="array" ref="I8">_xlfn.SWITCH(Sales!$H8,"Net 30",Sales!$D8+30,"Net 60", Sales!$D8+60, "ON Invoice",Sales!$D8)</f>
        <v>45175</v>
      </c>
      <c r="J8" s="17" t="s">
        <v>17</v>
      </c>
      <c r="K8" s="20" t="str">
        <f>VLOOKUP(Sales!$J8,Titles!$A$2:$I$18,2,FALSE)</f>
        <v>The Gourmet Microwave</v>
      </c>
      <c r="L8" s="20" t="str">
        <f>VLOOKUP(VLOOKUP(Sales!$J8, TitleAuthors!$A$2:$B$26,2,FALSE),Authors!$A$2:$H$24, 4,FALSE)</f>
        <v>Michel DeFrance</v>
      </c>
    </row>
    <row r="9" spans="1:12" x14ac:dyDescent="0.25">
      <c r="A9" s="17">
        <v>8042</v>
      </c>
      <c r="B9" s="17" t="str">
        <f>VLOOKUP(Sales!$A9,Stores!$A$2:$F$7,2,FALSE)</f>
        <v>Bookbeat</v>
      </c>
      <c r="C9" s="17" t="s">
        <v>29</v>
      </c>
      <c r="D9" s="18">
        <v>44818</v>
      </c>
      <c r="E9" s="17">
        <v>15</v>
      </c>
      <c r="F9" s="19">
        <v>2.99</v>
      </c>
      <c r="G9" s="19">
        <f t="shared" si="0"/>
        <v>44.85</v>
      </c>
      <c r="H9" s="17" t="s">
        <v>9</v>
      </c>
      <c r="I9" s="17" cm="1">
        <f t="array" ref="I9">_xlfn.SWITCH(Sales!$H9,"Net 30",Sales!$D9+30,"Net 60", Sales!$D9+60, "ON Invoice",Sales!$D9)</f>
        <v>44818</v>
      </c>
      <c r="J9" s="17" t="s">
        <v>17</v>
      </c>
      <c r="K9" s="20" t="str">
        <f>VLOOKUP(Sales!$J9,Titles!$A$2:$I$18,2,FALSE)</f>
        <v>The Gourmet Microwave</v>
      </c>
      <c r="L9" s="20" t="str">
        <f>VLOOKUP(VLOOKUP(Sales!$J9, TitleAuthors!$A$2:$B$26,2,FALSE),Authors!$A$2:$H$24, 4,FALSE)</f>
        <v>Michel DeFrance</v>
      </c>
    </row>
    <row r="10" spans="1:12" x14ac:dyDescent="0.25">
      <c r="A10" s="17">
        <v>8042</v>
      </c>
      <c r="B10" s="17" t="str">
        <f>VLOOKUP(Sales!$A10,Stores!$A$2:$F$7,2,FALSE)</f>
        <v>Bookbeat</v>
      </c>
      <c r="C10" s="17" t="s">
        <v>33</v>
      </c>
      <c r="D10" s="18">
        <v>44703</v>
      </c>
      <c r="E10" s="17">
        <v>30</v>
      </c>
      <c r="F10" s="19">
        <v>22.95</v>
      </c>
      <c r="G10" s="19">
        <f t="shared" si="0"/>
        <v>688.5</v>
      </c>
      <c r="H10" s="17" t="s">
        <v>6</v>
      </c>
      <c r="I10" s="17" cm="1">
        <f t="array" ref="I10">_xlfn.SWITCH(Sales!$H10,"Net 30",Sales!$D10+30,"Net 60", Sales!$D10+60, "ON Invoice",Sales!$D10)</f>
        <v>44733</v>
      </c>
      <c r="J10" s="17" t="s">
        <v>34</v>
      </c>
      <c r="K10" s="20" t="str">
        <f>VLOOKUP(Sales!$J10,Titles!$A$2:$I$18,2,FALSE)</f>
        <v>But Is It User Friendly?</v>
      </c>
      <c r="L10" s="20" t="str">
        <f>VLOOKUP(VLOOKUP(Sales!$J10, TitleAuthors!$A$2:$B$26,2,FALSE),Authors!$A$2:$H$24, 4,FALSE)</f>
        <v>Cheryl Carson</v>
      </c>
    </row>
    <row r="11" spans="1:12" x14ac:dyDescent="0.25">
      <c r="A11" s="17">
        <v>7066</v>
      </c>
      <c r="B11" s="17" t="str">
        <f>VLOOKUP(Sales!$A11,Stores!$A$2:$F$7,2,FALSE)</f>
        <v>Barnum's</v>
      </c>
      <c r="C11" s="17" t="s">
        <v>5</v>
      </c>
      <c r="D11" s="18">
        <v>44705</v>
      </c>
      <c r="E11" s="17">
        <v>50</v>
      </c>
      <c r="F11" s="19">
        <v>20</v>
      </c>
      <c r="G11" s="19">
        <f t="shared" si="0"/>
        <v>1000</v>
      </c>
      <c r="H11" s="17" t="s">
        <v>6</v>
      </c>
      <c r="I11" s="17" cm="1">
        <f t="array" ref="I11">_xlfn.SWITCH(Sales!$H11,"Net 30",Sales!$D11+30,"Net 60", Sales!$D11+60, "ON Invoice",Sales!$D11)</f>
        <v>44735</v>
      </c>
      <c r="J11" s="17" t="s">
        <v>7</v>
      </c>
      <c r="K11" s="20" t="str">
        <f>VLOOKUP(Sales!$J11,Titles!$A$2:$I$18,2,FALSE)</f>
        <v>Secrets of Silicon Valley</v>
      </c>
      <c r="L11" s="20" t="str">
        <f>VLOOKUP(VLOOKUP(Sales!$J11, TitleAuthors!$A$2:$B$26,2,FALSE),Authors!$A$2:$H$24, 4,FALSE)</f>
        <v>Ann Dull</v>
      </c>
    </row>
    <row r="12" spans="1:12" x14ac:dyDescent="0.25">
      <c r="A12" s="17">
        <v>7131</v>
      </c>
      <c r="B12" s="17" t="str">
        <f>VLOOKUP(Sales!$A12,Stores!$A$2:$F$7,2,FALSE)</f>
        <v>Doc-U-Mat: Quality Laundry and Books</v>
      </c>
      <c r="C12" s="17" t="s">
        <v>18</v>
      </c>
      <c r="D12" s="18">
        <v>44710</v>
      </c>
      <c r="E12" s="17">
        <v>20</v>
      </c>
      <c r="F12" s="19">
        <v>21.59</v>
      </c>
      <c r="G12" s="19">
        <f t="shared" si="0"/>
        <v>431.8</v>
      </c>
      <c r="H12" s="17" t="s">
        <v>1</v>
      </c>
      <c r="I12" s="17" cm="1">
        <f t="array" ref="I12">_xlfn.SWITCH(Sales!$H12,"Net 30",Sales!$D12+30,"Net 60", Sales!$D12+60, "ON Invoice",Sales!$D12)</f>
        <v>44770</v>
      </c>
      <c r="J12" s="17" t="s">
        <v>19</v>
      </c>
      <c r="K12" s="20" t="str">
        <f>VLOOKUP(Sales!$J12,Titles!$A$2:$I$18,2,FALSE)</f>
        <v>Computer Phobic AND Non-Phobic Individuals: Behavior Variations</v>
      </c>
      <c r="L12" s="20" t="str">
        <f>VLOOKUP(VLOOKUP(Sales!$J12, TitleAuthors!$A$2:$B$26,2,FALSE),Authors!$A$2:$H$24, 4,FALSE)</f>
        <v>Stearns MacFeather</v>
      </c>
    </row>
    <row r="13" spans="1:12" x14ac:dyDescent="0.25">
      <c r="A13" s="17">
        <v>6380</v>
      </c>
      <c r="B13" s="17" t="str">
        <f>VLOOKUP(Sales!$A13,Stores!$A$2:$F$7,2,FALSE)</f>
        <v>Eric the Read Books</v>
      </c>
      <c r="C13" s="17" t="s">
        <v>3</v>
      </c>
      <c r="D13" s="18">
        <v>44939</v>
      </c>
      <c r="E13" s="17">
        <v>3</v>
      </c>
      <c r="F13" s="19">
        <v>10.95</v>
      </c>
      <c r="G13" s="19">
        <f t="shared" si="0"/>
        <v>32.849999999999994</v>
      </c>
      <c r="H13" s="17" t="s">
        <v>1</v>
      </c>
      <c r="I13" s="17" cm="1">
        <f t="array" ref="I13">_xlfn.SWITCH(Sales!$H13,"Net 30",Sales!$D13+30,"Net 60", Sales!$D13+60, "ON Invoice",Sales!$D13)</f>
        <v>44999</v>
      </c>
      <c r="J13" s="17" t="s">
        <v>4</v>
      </c>
      <c r="K13" s="20" t="str">
        <f>VLOOKUP(Sales!$J13,Titles!$A$2:$I$18,2,FALSE)</f>
        <v>Is Anger the Enemy?</v>
      </c>
      <c r="L13" s="20" t="str">
        <f>VLOOKUP(VLOOKUP(Sales!$J13, TitleAuthors!$A$2:$B$26,2,FALSE),Authors!$A$2:$H$24, 4,FALSE)</f>
        <v>Anne Ringer</v>
      </c>
    </row>
    <row r="14" spans="1:12" x14ac:dyDescent="0.25">
      <c r="A14" s="17">
        <v>7066</v>
      </c>
      <c r="B14" s="17" t="str">
        <f>VLOOKUP(Sales!$A14,Stores!$A$2:$F$7,2,FALSE)</f>
        <v>Barnum's</v>
      </c>
      <c r="C14" s="17" t="s">
        <v>8</v>
      </c>
      <c r="D14" s="18">
        <v>44983</v>
      </c>
      <c r="E14" s="17">
        <v>75</v>
      </c>
      <c r="F14" s="19">
        <v>10.95</v>
      </c>
      <c r="G14" s="19">
        <f t="shared" si="0"/>
        <v>821.25</v>
      </c>
      <c r="H14" s="17" t="s">
        <v>9</v>
      </c>
      <c r="I14" s="17" cm="1">
        <f t="array" ref="I14">_xlfn.SWITCH(Sales!$H14,"Net 30",Sales!$D14+30,"Net 60", Sales!$D14+60, "ON Invoice",Sales!$D14)</f>
        <v>44983</v>
      </c>
      <c r="J14" s="17" t="s">
        <v>4</v>
      </c>
      <c r="K14" s="20" t="str">
        <f>VLOOKUP(Sales!$J14,Titles!$A$2:$I$18,2,FALSE)</f>
        <v>Is Anger the Enemy?</v>
      </c>
      <c r="L14" s="20" t="str">
        <f>VLOOKUP(VLOOKUP(Sales!$J14, TitleAuthors!$A$2:$B$26,2,FALSE),Authors!$A$2:$H$24, 4,FALSE)</f>
        <v>Anne Ringer</v>
      </c>
    </row>
    <row r="15" spans="1:12" x14ac:dyDescent="0.25">
      <c r="A15" s="17">
        <v>7067</v>
      </c>
      <c r="B15" s="17" t="str">
        <f>VLOOKUP(Sales!$A15,Stores!$A$2:$F$7,2,FALSE)</f>
        <v>News &amp; Brews</v>
      </c>
      <c r="C15" s="17" t="s">
        <v>10</v>
      </c>
      <c r="D15" s="18">
        <v>45033</v>
      </c>
      <c r="E15" s="17">
        <v>10</v>
      </c>
      <c r="F15" s="19">
        <v>10.95</v>
      </c>
      <c r="G15" s="19">
        <f t="shared" si="0"/>
        <v>109.5</v>
      </c>
      <c r="H15" s="17" t="s">
        <v>1</v>
      </c>
      <c r="I15" s="17" cm="1">
        <f t="array" ref="I15">_xlfn.SWITCH(Sales!$H15,"Net 30",Sales!$D15+30,"Net 60", Sales!$D15+60, "ON Invoice",Sales!$D15)</f>
        <v>45093</v>
      </c>
      <c r="J15" s="17" t="s">
        <v>4</v>
      </c>
      <c r="K15" s="20" t="str">
        <f>VLOOKUP(Sales!$J15,Titles!$A$2:$I$18,2,FALSE)</f>
        <v>Is Anger the Enemy?</v>
      </c>
      <c r="L15" s="20" t="str">
        <f>VLOOKUP(VLOOKUP(Sales!$J15, TitleAuthors!$A$2:$B$26,2,FALSE),Authors!$A$2:$H$24, 4,FALSE)</f>
        <v>Anne Ringer</v>
      </c>
    </row>
    <row r="16" spans="1:12" x14ac:dyDescent="0.25">
      <c r="A16" s="17">
        <v>7131</v>
      </c>
      <c r="B16" s="17" t="str">
        <f>VLOOKUP(Sales!$A16,Stores!$A$2:$F$7,2,FALSE)</f>
        <v>Doc-U-Mat: Quality Laundry and Books</v>
      </c>
      <c r="C16" s="17" t="s">
        <v>15</v>
      </c>
      <c r="D16" s="18">
        <v>45054</v>
      </c>
      <c r="E16" s="17">
        <v>20</v>
      </c>
      <c r="F16" s="19">
        <v>10.95</v>
      </c>
      <c r="G16" s="19">
        <f t="shared" si="0"/>
        <v>219</v>
      </c>
      <c r="H16" s="17" t="s">
        <v>6</v>
      </c>
      <c r="I16" s="17" cm="1">
        <f t="array" ref="I16">_xlfn.SWITCH(Sales!$H16,"Net 30",Sales!$D16+30,"Net 60", Sales!$D16+60, "ON Invoice",Sales!$D16)</f>
        <v>45084</v>
      </c>
      <c r="J16" s="17" t="s">
        <v>4</v>
      </c>
      <c r="K16" s="20" t="str">
        <f>VLOOKUP(Sales!$J16,Titles!$A$2:$I$18,2,FALSE)</f>
        <v>Is Anger the Enemy?</v>
      </c>
      <c r="L16" s="20" t="str">
        <f>VLOOKUP(VLOOKUP(Sales!$J16, TitleAuthors!$A$2:$B$26,2,FALSE),Authors!$A$2:$H$24, 4,FALSE)</f>
        <v>Anne Ringer</v>
      </c>
    </row>
    <row r="17" spans="1:12" x14ac:dyDescent="0.25">
      <c r="A17" s="17">
        <v>7131</v>
      </c>
      <c r="B17" s="17" t="str">
        <f>VLOOKUP(Sales!$A17,Stores!$A$2:$F$7,2,FALSE)</f>
        <v>Doc-U-Mat: Quality Laundry and Books</v>
      </c>
      <c r="C17" s="17" t="s">
        <v>18</v>
      </c>
      <c r="D17" s="18">
        <v>44710</v>
      </c>
      <c r="E17" s="17">
        <v>25</v>
      </c>
      <c r="F17" s="19">
        <v>7</v>
      </c>
      <c r="G17" s="19">
        <f t="shared" si="0"/>
        <v>175</v>
      </c>
      <c r="H17" s="17" t="s">
        <v>1</v>
      </c>
      <c r="I17" s="17" cm="1">
        <f t="array" ref="I17">_xlfn.SWITCH(Sales!$H17,"Net 30",Sales!$D17+30,"Net 60", Sales!$D17+60, "ON Invoice",Sales!$D17)</f>
        <v>44770</v>
      </c>
      <c r="J17" s="17" t="s">
        <v>20</v>
      </c>
      <c r="K17" s="20" t="str">
        <f>VLOOKUP(Sales!$J17,Titles!$A$2:$I$18,2,FALSE)</f>
        <v>Life Without Fear</v>
      </c>
      <c r="L17" s="20" t="str">
        <f>VLOOKUP(VLOOKUP(Sales!$J17, TitleAuthors!$A$2:$B$26,2,FALSE),Authors!$A$2:$H$24, 4,FALSE)</f>
        <v>Albert Ringer</v>
      </c>
    </row>
    <row r="18" spans="1:12" x14ac:dyDescent="0.25">
      <c r="A18" s="17">
        <v>7131</v>
      </c>
      <c r="B18" s="17" t="str">
        <f>VLOOKUP(Sales!$A18,Stores!$A$2:$F$7,2,FALSE)</f>
        <v>Doc-U-Mat: Quality Laundry and Books</v>
      </c>
      <c r="C18" s="17" t="s">
        <v>18</v>
      </c>
      <c r="D18" s="18">
        <v>44710</v>
      </c>
      <c r="E18" s="17">
        <v>15</v>
      </c>
      <c r="F18" s="19">
        <v>19.989999999999998</v>
      </c>
      <c r="G18" s="19">
        <f t="shared" si="0"/>
        <v>299.84999999999997</v>
      </c>
      <c r="H18" s="17" t="s">
        <v>1</v>
      </c>
      <c r="I18" s="17" cm="1">
        <f t="array" ref="I18">_xlfn.SWITCH(Sales!$H18,"Net 30",Sales!$D18+30,"Net 60", Sales!$D18+60, "ON Invoice",Sales!$D18)</f>
        <v>44770</v>
      </c>
      <c r="J18" s="17" t="s">
        <v>21</v>
      </c>
      <c r="K18" s="20" t="str">
        <f>VLOOKUP(Sales!$J18,Titles!$A$2:$I$18,2,FALSE)</f>
        <v>Prolonged Data Deprivation: Four Case Studies</v>
      </c>
      <c r="L18" s="20" t="str">
        <f>VLOOKUP(VLOOKUP(Sales!$J18, TitleAuthors!$A$2:$B$26,2,FALSE),Authors!$A$2:$H$24, 4,FALSE)</f>
        <v>Johnson White</v>
      </c>
    </row>
    <row r="19" spans="1:12" x14ac:dyDescent="0.25">
      <c r="A19" s="17">
        <v>7131</v>
      </c>
      <c r="B19" s="17" t="str">
        <f>VLOOKUP(Sales!$A19,Stores!$A$2:$F$7,2,FALSE)</f>
        <v>Doc-U-Mat: Quality Laundry and Books</v>
      </c>
      <c r="C19" s="17" t="s">
        <v>18</v>
      </c>
      <c r="D19" s="18">
        <v>44710</v>
      </c>
      <c r="E19" s="17">
        <v>25</v>
      </c>
      <c r="F19" s="19">
        <v>7.99</v>
      </c>
      <c r="G19" s="19">
        <f t="shared" si="0"/>
        <v>199.75</v>
      </c>
      <c r="H19" s="17" t="s">
        <v>1</v>
      </c>
      <c r="I19" s="17" cm="1">
        <f t="array" ref="I19">_xlfn.SWITCH(Sales!$H19,"Net 30",Sales!$D19+30,"Net 60", Sales!$D19+60, "ON Invoice",Sales!$D19)</f>
        <v>44770</v>
      </c>
      <c r="J19" s="17" t="s">
        <v>22</v>
      </c>
      <c r="K19" s="20" t="str">
        <f>VLOOKUP(Sales!$J19,Titles!$A$2:$I$18,2,FALSE)</f>
        <v>Emotional Security: A New Algorithm</v>
      </c>
      <c r="L19" s="20" t="str">
        <f>VLOOKUP(VLOOKUP(Sales!$J19, TitleAuthors!$A$2:$B$26,2,FALSE),Authors!$A$2:$H$24, 4,FALSE)</f>
        <v>Charlene Locksley</v>
      </c>
    </row>
    <row r="20" spans="1:12" x14ac:dyDescent="0.25">
      <c r="A20" s="17">
        <v>7067</v>
      </c>
      <c r="B20" s="17" t="str">
        <f>VLOOKUP(Sales!$A20,Stores!$A$2:$F$7,2,FALSE)</f>
        <v>News &amp; Brews</v>
      </c>
      <c r="C20" s="17" t="s">
        <v>11</v>
      </c>
      <c r="D20" s="18">
        <v>44454</v>
      </c>
      <c r="E20" s="17">
        <v>40</v>
      </c>
      <c r="F20" s="19">
        <v>20.95</v>
      </c>
      <c r="G20" s="19">
        <f t="shared" si="0"/>
        <v>838</v>
      </c>
      <c r="H20" s="17" t="s">
        <v>6</v>
      </c>
      <c r="I20" s="17" cm="1">
        <f t="array" ref="I20">_xlfn.SWITCH(Sales!$H20,"Net 30",Sales!$D20+30,"Net 60", Sales!$D20+60, "ON Invoice",Sales!$D20)</f>
        <v>44484</v>
      </c>
      <c r="J20" s="17" t="s">
        <v>12</v>
      </c>
      <c r="K20" s="20" t="str">
        <f>VLOOKUP(Sales!$J20,Titles!$A$2:$I$18,2,FALSE)</f>
        <v>Onions, Leeks, and Garlic: Cooking Secrets of the Mediterranean</v>
      </c>
      <c r="L20" s="20" t="str">
        <f>VLOOKUP(VLOOKUP(Sales!$J20, TitleAuthors!$A$2:$B$26,2,FALSE),Authors!$A$2:$H$24, 4,FALSE)</f>
        <v>Sylvia Panteley</v>
      </c>
    </row>
    <row r="21" spans="1:12" x14ac:dyDescent="0.25">
      <c r="A21" s="17">
        <v>7067</v>
      </c>
      <c r="B21" s="17" t="str">
        <f>VLOOKUP(Sales!$A21,Stores!$A$2:$F$7,2,FALSE)</f>
        <v>News &amp; Brews</v>
      </c>
      <c r="C21" s="17" t="s">
        <v>11</v>
      </c>
      <c r="D21" s="18">
        <v>44545</v>
      </c>
      <c r="E21" s="17">
        <v>20</v>
      </c>
      <c r="F21" s="19">
        <v>11.95</v>
      </c>
      <c r="G21" s="19">
        <f t="shared" si="0"/>
        <v>239</v>
      </c>
      <c r="H21" s="17" t="s">
        <v>6</v>
      </c>
      <c r="I21" s="17" cm="1">
        <f t="array" ref="I21">_xlfn.SWITCH(Sales!$H21,"Net 30",Sales!$D21+30,"Net 60", Sales!$D21+60, "ON Invoice",Sales!$D21)</f>
        <v>44575</v>
      </c>
      <c r="J21" s="17" t="s">
        <v>13</v>
      </c>
      <c r="K21" s="20" t="str">
        <f>VLOOKUP(Sales!$J21,Titles!$A$2:$I$18,2,FALSE)</f>
        <v>Fifty Years in Buckingham Palace Kitchens</v>
      </c>
      <c r="L21" s="20" t="str">
        <f>VLOOKUP(VLOOKUP(Sales!$J21, TitleAuthors!$A$2:$B$26,2,FALSE),Authors!$A$2:$H$24, 4,FALSE)</f>
        <v>Reginald Blotchet-Halls</v>
      </c>
    </row>
    <row r="22" spans="1:12" x14ac:dyDescent="0.25">
      <c r="A22" s="17">
        <v>7067</v>
      </c>
      <c r="B22" s="17" t="str">
        <f>VLOOKUP(Sales!$A22,Stores!$A$2:$F$7,2,FALSE)</f>
        <v>News &amp; Brews</v>
      </c>
      <c r="C22" s="17" t="s">
        <v>11</v>
      </c>
      <c r="D22" s="18">
        <v>44395</v>
      </c>
      <c r="E22" s="17">
        <v>20</v>
      </c>
      <c r="F22" s="19">
        <v>14.99</v>
      </c>
      <c r="G22" s="19">
        <f t="shared" si="0"/>
        <v>299.8</v>
      </c>
      <c r="H22" s="17" t="s">
        <v>6</v>
      </c>
      <c r="I22" s="17" cm="1">
        <f t="array" ref="I22">_xlfn.SWITCH(Sales!$H22,"Net 30",Sales!$D22+30,"Net 60", Sales!$D22+60, "ON Invoice",Sales!$D22)</f>
        <v>44425</v>
      </c>
      <c r="J22" s="17" t="s">
        <v>14</v>
      </c>
      <c r="K22" s="20" t="str">
        <f>VLOOKUP(Sales!$J22,Titles!$A$2:$I$18,2,FALSE)</f>
        <v>Sushi, Anyone?</v>
      </c>
      <c r="L22" s="20" t="str">
        <f>VLOOKUP(VLOOKUP(Sales!$J22, TitleAuthors!$A$2:$B$26,2,FALSE),Authors!$A$2:$H$24, 4,FALSE)</f>
        <v>Michael O'Leary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CFB5F46-9BE7-4AF6-B8D2-3ABA16DF52E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Stores</vt:lpstr>
      <vt:lpstr>Publishers</vt:lpstr>
      <vt:lpstr>Titles</vt:lpstr>
      <vt:lpstr>TitleAuthors</vt:lpstr>
      <vt:lpstr>Authors</vt:lpstr>
      <vt:lpstr>Sales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mjcorkery</dc:creator>
  <cp:lastModifiedBy>Michael Corkery</cp:lastModifiedBy>
  <dcterms:created xsi:type="dcterms:W3CDTF">2023-08-07T14:35:04Z</dcterms:created>
  <dcterms:modified xsi:type="dcterms:W3CDTF">2023-09-09T12:48:33Z</dcterms:modified>
</cp:coreProperties>
</file>